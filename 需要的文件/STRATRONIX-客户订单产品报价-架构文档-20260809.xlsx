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1-总览" sheetId="1" r:id="rId1"/>
    <sheet name="2-Accounts" sheetId="4" r:id="rId2"/>
    <sheet name="3-Quotes" sheetId="6" r:id="rId3"/>
    <sheet name="4-Invoices" sheetId="8" r:id="rId4"/>
    <sheet name="5-Products" sheetId="9" r:id="rId5"/>
    <sheet name="6-工程师开发指引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<sst xmlns="http://schemas.openxmlformats.org/spreadsheetml/2006/main" count="692" uniqueCount="338">
  <si>
    <t>STRATRONIX通用智能体  客户部分 架构文档 — 客户/订单/产品模块 2026-08-09</t>
  </si>
  <si>
    <t>对象：让工程师能基于本文档，做同样的基础的客户模块逻辑</t>
  </si>
  <si>
    <t>📌 ZOHO CRM 标准模块关系（ER 核心）</t>
  </si>
  <si>
    <r>
      <t xml:space="preserve">
  ┌─────────────┐  qualify  ┌──────────┐  convert  ┌──────────┐
  │   Leads     │ ────────&gt; │ Contacts │ &lt;─────── │ Accounts  │
  │ (</t>
    </r>
    <r>
      <rPr>
        <sz val="9"/>
        <rFont val="SimSun"/>
        <charset val="134"/>
      </rPr>
      <t>销售线索</t>
    </r>
    <r>
      <rPr>
        <sz val="9"/>
        <rFont val="Courier New"/>
        <charset val="134"/>
      </rPr>
      <t>) │           │ (</t>
    </r>
    <r>
      <rPr>
        <sz val="9"/>
        <rFont val="SimSun"/>
        <charset val="134"/>
      </rPr>
      <t>联系人</t>
    </r>
    <r>
      <rPr>
        <sz val="9"/>
        <rFont val="Courier New"/>
        <charset val="134"/>
      </rPr>
      <t>) │          │ (</t>
    </r>
    <r>
      <rPr>
        <sz val="9"/>
        <rFont val="SimSun"/>
        <charset val="134"/>
      </rPr>
      <t>客户</t>
    </r>
    <r>
      <rPr>
        <sz val="9"/>
        <rFont val="Courier New"/>
        <charset val="134"/>
      </rPr>
      <t>/</t>
    </r>
    <r>
      <rPr>
        <sz val="9"/>
        <rFont val="SimSun"/>
        <charset val="134"/>
      </rPr>
      <t>公司</t>
    </r>
    <r>
      <rPr>
        <sz val="9"/>
        <rFont val="Courier New"/>
        <charset val="134"/>
      </rPr>
      <t>)│
  └─────────────┘           └──────────┘          └──────────┘
                                    │                    │
                                    │   belongs to       │
                                    └────&gt; &lt;─────────────┘
                                    │
                                    ▼
                            ┌─────────────┐
                            │   Deals     │  contains
                            │  (</t>
    </r>
    <r>
      <rPr>
        <sz val="9"/>
        <rFont val="SimSun"/>
        <charset val="134"/>
      </rPr>
      <t>商机</t>
    </r>
    <r>
      <rPr>
        <sz val="9"/>
        <rFont val="Courier New"/>
        <charset val="134"/>
      </rPr>
      <t>)    │ ────────&gt; ┌──────────┐
                            └─────────────┘          │ Products │
                                    │                │ (</t>
    </r>
    <r>
      <rPr>
        <sz val="9"/>
        <rFont val="SimSun"/>
        <charset val="134"/>
      </rPr>
      <t>产品</t>
    </r>
    <r>
      <rPr>
        <sz val="9"/>
        <rFont val="Courier New"/>
        <charset val="134"/>
      </rPr>
      <t>)  │
                                    │ stage won      └──────────┘
                                    ▼                   │ used in
                            ┌─────────────┐             ▼
                            │   Quotes    │         ┌──────────┐
                            │  (</t>
    </r>
    <r>
      <rPr>
        <sz val="9"/>
        <rFont val="SimSun"/>
        <charset val="134"/>
      </rPr>
      <t>报价单</t>
    </r>
    <r>
      <rPr>
        <sz val="9"/>
        <rFont val="Courier New"/>
        <charset val="134"/>
      </rPr>
      <t>)  │ &lt;────── │Price Books│
                            └─────────────┘         │ (</t>
    </r>
    <r>
      <rPr>
        <sz val="9"/>
        <rFont val="SimSun"/>
        <charset val="134"/>
      </rPr>
      <t>价格表</t>
    </r>
    <r>
      <rPr>
        <sz val="9"/>
        <rFont val="Courier New"/>
        <charset val="134"/>
      </rPr>
      <t>) │
                                    │ accept         └──────────┘
                                    ▼
                            ┌─────────────┐
                            │ Sales Orders│ ─────────&gt;  Invoices
                            │ (</t>
    </r>
    <r>
      <rPr>
        <sz val="9"/>
        <rFont val="SimSun"/>
        <charset val="134"/>
      </rPr>
      <t>销售订单</t>
    </r>
    <r>
      <rPr>
        <sz val="9"/>
        <rFont val="Courier New"/>
        <charset val="134"/>
      </rPr>
      <t>) │              (</t>
    </r>
    <r>
      <rPr>
        <sz val="9"/>
        <rFont val="SimSun"/>
        <charset val="134"/>
      </rPr>
      <t>发票</t>
    </r>
    <r>
      <rPr>
        <sz val="9"/>
        <rFont val="Courier New"/>
        <charset val="134"/>
      </rPr>
      <t xml:space="preserve">)
                            └─────────────┘
</t>
    </r>
  </si>
  <si>
    <t>模块</t>
  </si>
  <si>
    <t>中文</t>
  </si>
  <si>
    <t>类型</t>
  </si>
  <si>
    <t>用途</t>
  </si>
  <si>
    <t>依赖模块</t>
  </si>
  <si>
    <t>备注</t>
  </si>
  <si>
    <t>Accounts</t>
  </si>
  <si>
    <t>客户/账户</t>
  </si>
  <si>
    <t>客户</t>
  </si>
  <si>
    <t>公司或组织</t>
  </si>
  <si>
    <t>Contacts/Deals</t>
  </si>
  <si>
    <t>1 个 Account 多个 Contacts</t>
  </si>
  <si>
    <t>Quotes</t>
  </si>
  <si>
    <t>报价单</t>
  </si>
  <si>
    <t>订单</t>
  </si>
  <si>
    <t>正式报价</t>
  </si>
  <si>
    <t>Deals/Products</t>
  </si>
  <si>
    <t>可转 Sales Order</t>
  </si>
  <si>
    <t>Invoices</t>
  </si>
  <si>
    <t>发票</t>
  </si>
  <si>
    <t>收款凭证</t>
  </si>
  <si>
    <t>Sales Orders/Contacts</t>
  </si>
  <si>
    <t>财务对账核心</t>
  </si>
  <si>
    <t>Products</t>
  </si>
  <si>
    <t>产品</t>
  </si>
  <si>
    <t>物料/商品</t>
  </si>
  <si>
    <t>Price Books</t>
  </si>
  <si>
    <t>可被多模块引用</t>
  </si>
  <si>
    <t>📌 数据库表结构建议（PostgreSQL）</t>
  </si>
  <si>
    <t xml:space="preserve">
表命名：crm_leads / crm_contacts / crm_accounts / crm_deals / crm_quotes
        crm_sales_orders / crm_invoices / crm_products / crm_price_books
        crm_line_items（通用：quote_line_items / order_line_items / invoice_line_items）
通用字段：id (UUID), tenant_id, owner_user_id, created_at, updated_at, deleted_at
        custom_fields (JSONB), tags (TEXT[]), created_by, modified_by
外键关系：
- crm_contacts.account_id -&gt; crm_accounts.id (N:1)
- crm_deals.account_id -&gt; crm_accounts.id, contact_id -&gt; crm_contacts.id
- crm_quotes.deal_id -&gt; crm_deals.id, account_id, contact_id
- crm_sales_orders.quote_id -&gt; crm_quotes.id, deal_id, account_id, contact_id
- crm_invoices.sales_order_id -&gt; crm_sales_orders.id, account_id, contact_id
- crm_line_items.parent_id (polymorphic), product_id -&gt; crm_products.id
- crm_products.price_book_id (or N:N via crm_price_book_entries)
</t>
  </si>
  <si>
    <t>📋 Accounts（客户/账户）模块 — 字段定义 / 逻辑</t>
  </si>
  <si>
    <t>用途：公司或组织实体。1 个 Account 可有多个 Contacts / Deals / Quotes / SOs / Invoices。</t>
  </si>
  <si>
    <t>#</t>
  </si>
  <si>
    <t>字段名</t>
  </si>
  <si>
    <t>必填</t>
  </si>
  <si>
    <t>长度/格式</t>
  </si>
  <si>
    <t>说明</t>
  </si>
  <si>
    <t>Account Owner</t>
  </si>
  <si>
    <t>客户负责人</t>
  </si>
  <si>
    <t>Lookup(User)</t>
  </si>
  <si>
    <t>Y</t>
  </si>
  <si>
    <t>—</t>
  </si>
  <si>
    <t>Account Name</t>
  </si>
  <si>
    <t>客户名称</t>
  </si>
  <si>
    <t>Text</t>
  </si>
  <si>
    <t>200</t>
  </si>
  <si>
    <t>唯一（同名需加地区）</t>
  </si>
  <si>
    <t>Account Number</t>
  </si>
  <si>
    <t>客户编号</t>
  </si>
  <si>
    <t>AutoNumber</t>
  </si>
  <si>
    <t>N</t>
  </si>
  <si>
    <t>20</t>
  </si>
  <si>
    <t>系统自动生成 ACC-XXXX</t>
  </si>
  <si>
    <t>Account Type</t>
  </si>
  <si>
    <t>客户类型</t>
  </si>
  <si>
    <t>Picklist</t>
  </si>
  <si>
    <t>Analyst / Competitor / Customer / Distributor / Integrator / Investor / Other / Partner / Press / Prospect / Reseller / Supplier / Vendor</t>
  </si>
  <si>
    <t>Industry</t>
  </si>
  <si>
    <t>行业</t>
  </si>
  <si>
    <t>见 Leads 字段</t>
  </si>
  <si>
    <t>Rating</t>
  </si>
  <si>
    <t>评分</t>
  </si>
  <si>
    <t>Acquired / Active / Market Failed / Project Abandoned / Project Cancelled / Shut Down</t>
  </si>
  <si>
    <t>Phone</t>
  </si>
  <si>
    <t>电话</t>
  </si>
  <si>
    <t>主电话</t>
  </si>
  <si>
    <t>Website</t>
  </si>
  <si>
    <t>网站</t>
  </si>
  <si>
    <t>URL</t>
  </si>
  <si>
    <t>Ownership</t>
  </si>
  <si>
    <t>所有权</t>
  </si>
  <si>
    <t>Private / Public / Subsidiary</t>
  </si>
  <si>
    <t>Employees</t>
  </si>
  <si>
    <t>员工数</t>
  </si>
  <si>
    <t>Number</t>
  </si>
  <si>
    <t>Billing Street</t>
  </si>
  <si>
    <t>账单地址</t>
  </si>
  <si>
    <t>250</t>
  </si>
  <si>
    <t>Billing City</t>
  </si>
  <si>
    <t>账单城市</t>
  </si>
  <si>
    <t>30</t>
  </si>
  <si>
    <t>Billing State</t>
  </si>
  <si>
    <t>账单省/州</t>
  </si>
  <si>
    <t>Billing Code</t>
  </si>
  <si>
    <t>账单邮编</t>
  </si>
  <si>
    <t>Billing Country</t>
  </si>
  <si>
    <t>账单国家</t>
  </si>
  <si>
    <t>Shipping Street</t>
  </si>
  <si>
    <t>收货地址</t>
  </si>
  <si>
    <t>Description</t>
  </si>
  <si>
    <t>描述</t>
  </si>
  <si>
    <t>TextArea</t>
  </si>
  <si>
    <t>2000</t>
  </si>
  <si>
    <t>Account Sites</t>
  </si>
  <si>
    <t>客户地址</t>
  </si>
  <si>
    <t>Related List</t>
  </si>
  <si>
    <t>多地址管理</t>
  </si>
  <si>
    <t>LinkedIn</t>
  </si>
  <si>
    <t>Created By</t>
  </si>
  <si>
    <t>创建人</t>
  </si>
  <si>
    <t>系统字段</t>
  </si>
  <si>
    <t>Created Time</t>
  </si>
  <si>
    <t>创建时间</t>
  </si>
  <si>
    <t>DateTime</t>
  </si>
  <si>
    <t>Modified By</t>
  </si>
  <si>
    <t>最后修改人</t>
  </si>
  <si>
    <t>Modified Time</t>
  </si>
  <si>
    <t>最后修改时间</t>
  </si>
  <si>
    <t>NOTES</t>
  </si>
  <si>
    <t>以时间顺序记录每次沟通情况；永远保留</t>
  </si>
  <si>
    <t>⚙️ Accounts 工作流逻辑</t>
  </si>
  <si>
    <t xml:space="preserve">
【触发条件】                              【动作】
─────────────────────────────────────────────────────────────
1. 创建 Account 时                       → 自动按国家/区域分配 Owner
                                            → 创建 Account Site（默认 = Billing Address）
                                            → 添加到行业相关营销 Campaign
2. Account Type = "Customer" 改变        → 触发"客户升级"邮件模板
                                            → 创建 Onboarding Task（90 天计划）
3. Annual Revenue &gt; 1亿                  → 自动标记 VIP 客户（custom field）
                                            → 通知销售总监
4. Parent Account 被设置                 → 同步子公司的 Billing/Shipping 到母公司
                                            → 通知母公司 Owner
5. Account 关联 Contact 创建             → 自动发送欢迎邮件（如 Email Opt Out = false）
                                            → 同步到 CRM 主客户视图
6. Account 多年无 Deal                   → 自动归类 Cold Customer
                                            → 通知 Account Owner 跟进
7. 删除 Account                          → 检查 Contact/Deal/Quote/SO/Invoice 引用
                                            → 全部归档后才允许硬删除
</t>
  </si>
  <si>
    <t>📋 Quotes（报价单）模块 — 字段定义 / 逻辑</t>
  </si>
  <si>
    <t>用途：正式报价。可关联 Deal / Account / Contact。客户接受后可一键转为 Sales Order。</t>
  </si>
  <si>
    <t>Quote Owner</t>
  </si>
  <si>
    <t>报价负责人</t>
  </si>
  <si>
    <t>Subject</t>
  </si>
  <si>
    <t>主题</t>
  </si>
  <si>
    <t>255</t>
  </si>
  <si>
    <t>如"Q3 服务器采购报价"</t>
  </si>
  <si>
    <t>Quote Number</t>
  </si>
  <si>
    <t>报价编号</t>
  </si>
  <si>
    <t>QUO-XXXX</t>
  </si>
  <si>
    <t>Quote Stage</t>
  </si>
  <si>
    <t>报价状态</t>
  </si>
  <si>
    <t>Draft / Delivered / Accepted / Rejected / Invoiced / Reviewed</t>
  </si>
  <si>
    <t>Valid Until</t>
  </si>
  <si>
    <t>有效期</t>
  </si>
  <si>
    <t>Date</t>
  </si>
  <si>
    <t>默认 = 今天 + 30 天</t>
  </si>
  <si>
    <t>Lookup(Account)</t>
  </si>
  <si>
    <t>Contact Name</t>
  </si>
  <si>
    <t>联系人</t>
  </si>
  <si>
    <t>Lookup(Contact)</t>
  </si>
  <si>
    <t>Deal Name</t>
  </si>
  <si>
    <t>关联商机</t>
  </si>
  <si>
    <t>Lookup(Deal)</t>
  </si>
  <si>
    <t>Team</t>
  </si>
  <si>
    <t>团队</t>
  </si>
  <si>
    <t>Lookup(Team)</t>
  </si>
  <si>
    <t>Grand Total</t>
  </si>
  <si>
    <t>总计</t>
  </si>
  <si>
    <t>Currency</t>
  </si>
  <si>
    <t>自动计算</t>
  </si>
  <si>
    <t>Sub Total</t>
  </si>
  <si>
    <t>小计</t>
  </si>
  <si>
    <t>Discount</t>
  </si>
  <si>
    <t>折扣</t>
  </si>
  <si>
    <t>Tax</t>
  </si>
  <si>
    <t>税</t>
  </si>
  <si>
    <t>Adjustment</t>
  </si>
  <si>
    <t>调整</t>
  </si>
  <si>
    <t>Shipping Charge</t>
  </si>
  <si>
    <t>运费</t>
  </si>
  <si>
    <t>Terms and Conditions</t>
  </si>
  <si>
    <t>条款</t>
  </si>
  <si>
    <t>5000</t>
  </si>
  <si>
    <t>继承 Account</t>
  </si>
  <si>
    <t>Line Items</t>
  </si>
  <si>
    <t>明细行</t>
  </si>
  <si>
    <t>产品 + 数量 + 单价 + 折扣</t>
  </si>
  <si>
    <t>⚙️ 工作流逻辑</t>
  </si>
  <si>
    <t xml:space="preserve">
【触发条件】                              【动作】
─────────────────────────────────────────────────────────────
1. 新 Quote 创建                          → 默认 Quote Stage = Draft
                                            → Quote Number 自动生成
2. Quote Stage = "Delivered"             → 发送报价单 PDF 给 Customer
                                            → 记录发送历史（邮件/邮件模板）
3. Quote Stage = "Accepted"              → 自动转 Sales Order（按钮）
                                            → 复制所有 Line Items + Account/Contact
                                            → 通知 Owner
4. Quote Stage = "Rejected"              → 必填 Reject Reason
                                            → 标记 Deal Stage = Negotiation/Review 回到前一阶段
5. Quote Stage = "Invoiced"              → 锁定 Quote（不可修改）
                                            → 关联 Invoice 记录
6. Valid Until 已过期                     → 提醒 Owner 续约或重新报价
7. Line Items 中 Products 改变           → 自动重算 Sub Total / Tax / Grand Total
                                            → 按 Price Book 自动填入单价（按客户级别）
</t>
  </si>
  <si>
    <t>📋 Invoices（发票）模块 — 字段定义 / 逻辑</t>
  </si>
  <si>
    <t>用途：收款凭证。来源 SO 转化或手动创建。财务对账核心。</t>
  </si>
  <si>
    <t>Invoice Owner</t>
  </si>
  <si>
    <t>发票负责人</t>
  </si>
  <si>
    <t>单独附件</t>
  </si>
  <si>
    <t>Invoice Number</t>
  </si>
  <si>
    <t>发票编号</t>
  </si>
  <si>
    <t>INV-XXXX</t>
  </si>
  <si>
    <t>Status</t>
  </si>
  <si>
    <t>状态</t>
  </si>
  <si>
    <t>Draft / Sent / Paid / Overdue / Partially Paid / Cancelled</t>
  </si>
  <si>
    <t>Invoice Date</t>
  </si>
  <si>
    <t>发票日期</t>
  </si>
  <si>
    <t>默认 = 今天</t>
  </si>
  <si>
    <t>Due Date</t>
  </si>
  <si>
    <t>到期日</t>
  </si>
  <si>
    <t>默认 = 发票日期 + 30 天</t>
  </si>
  <si>
    <t>Sales Order</t>
  </si>
  <si>
    <t>关联订单</t>
  </si>
  <si>
    <t>Lookup(SO)</t>
  </si>
  <si>
    <t>从 SO 转化时填入</t>
  </si>
  <si>
    <t>Purchase Order</t>
  </si>
  <si>
    <t>客户 PO 号</t>
  </si>
  <si>
    <t>币种</t>
  </si>
  <si>
    <t>USD / CNY / EUR / GBP / JPY ...</t>
  </si>
  <si>
    <t>Exchange Rate</t>
  </si>
  <si>
    <t>汇率</t>
  </si>
  <si>
    <t>Balance</t>
  </si>
  <si>
    <t>余额</t>
  </si>
  <si>
    <t>Payment Method</t>
  </si>
  <si>
    <t>支付方式</t>
  </si>
  <si>
    <t>Bank Transfer / Credit Card / PayPal / Cheque / Cash / Other</t>
  </si>
  <si>
    <t xml:space="preserve">
【触发条件】                              【动作】
─────────────────────────────────────────────────────────────
1. 新 Invoice 创建                        → 默认 Status = Draft
                                            → Invoice Number 自动生成
                                            → Due Date = 30 天后
2. Status = "Sent"                       → 锁定 Invoice（不可修改 Line Items）
                                            → 发送邮件给 Customer
                                            → 记录发送历史
3. Status = "Paid"                       → Balance = 0
                                            → 通知销售 Owner
                                            → 触发感谢邮件
4. Status = "Partially Paid"             → Balance &gt; 0
                                            → 提醒 Owner 催收
5. Status = "Overdue"                    → Due Date 已过且未付
                                            → 自动提醒 Customer + Owner
                                            → 7 天后升级到销售经理
6. Status = "Cancelled"                  → 必填 Cancel Reason
                                            → 撤销关联（如 SO）
7. 收到 Payment（Payments 模块）          → 自动更新 Balance
                                            → 全额支付 → Status = Paid
8. Invoice 创建后 30 天仍未付款          → 自动催款（Email Template）
                                            → 60 天 → 升级催款
                                            → 90 天 → 法务接管
</t>
  </si>
  <si>
    <t>📋 Products（产品）模块 — 字段定义 / 逻辑</t>
  </si>
  <si>
    <t>用途：物料/商品主数据。被 Quote / SO / Invoice 引用。支持多 Price Book 差异化定价。</t>
  </si>
  <si>
    <t>Product Name</t>
  </si>
  <si>
    <t>产品名</t>
  </si>
  <si>
    <t>80</t>
  </si>
  <si>
    <t>如"STA-100 私有 AI 智能体"</t>
  </si>
  <si>
    <t>Product Code</t>
  </si>
  <si>
    <t>产品编码</t>
  </si>
  <si>
    <t xml:space="preserve">HS CODE </t>
  </si>
  <si>
    <t>Product Category</t>
  </si>
  <si>
    <t>产品类别</t>
  </si>
  <si>
    <t>如 PAA / 配件 / 服务</t>
  </si>
  <si>
    <t>Manufacturer</t>
  </si>
  <si>
    <t>制造商</t>
  </si>
  <si>
    <t>100</t>
  </si>
  <si>
    <t>如 STRATRONIX</t>
  </si>
  <si>
    <t>Quantity in Stock</t>
  </si>
  <si>
    <t>库存量</t>
  </si>
  <si>
    <t>自动从库存模块更新</t>
  </si>
  <si>
    <t>Unit Price</t>
  </si>
  <si>
    <t>单价</t>
  </si>
  <si>
    <t>默认价格（可被 Price Book 覆盖）</t>
  </si>
  <si>
    <t>Sales Price</t>
  </si>
  <si>
    <t>销售价</t>
  </si>
  <si>
    <t>实际销售价（可与 Unit Price 不同）</t>
  </si>
  <si>
    <t>产品介绍</t>
  </si>
  <si>
    <t>Product Image</t>
  </si>
  <si>
    <t>产品图</t>
  </si>
  <si>
    <t>Attachment</t>
  </si>
  <si>
    <t>Handle</t>
  </si>
  <si>
    <t>URL Slug</t>
  </si>
  <si>
    <t>SEO 友好 URL</t>
  </si>
  <si>
    <t>Tag</t>
  </si>
  <si>
    <t>标签</t>
  </si>
  <si>
    <t>Multi-Select</t>
  </si>
  <si>
    <t>亚马逊等平台需求</t>
  </si>
  <si>
    <t xml:space="preserve">
【触发条件】                              【动作】
─────────────────────────────────────────────────────────────
1. 新 Product 创建                        → 自动生成 Product Code（如未指定）
                                            → 默认 Product Active = False（待审核）
                                            → 添加到默认 Price Book
2. Product Active = True                  → 可被 Quote/SO/Invoice 引用
                                            → 上架到 E-commerce 同步（如启用）
3. Product Active = False                 → 从所有 Price Book 移除
                                            → 现有 Line Items 不受影响（已锁定）
4. Quantity in Stock &lt; Reorder Level      → 自动创建 Reorder Task
                                            → 通知供应链
5. Product 被 Deal/Quote 引用             → 阻止删除（需先取消引用）
6. Unit Price 改变                        → 写入 Price Book 历史
                                            → 触发现有 Quote 重算（仅 Draft 状态）
7. Product 关联到 Price Book              → 按 Price Book 定价规则
                                            → 一个 Product 可在多个 Price Book 中
</t>
  </si>
  <si>
    <r>
      <t>👨</t>
    </r>
    <r>
      <rPr>
        <b/>
        <sz val="14"/>
        <color rgb="FFE6417F"/>
        <rFont val="Times New Roman"/>
        <charset val="134"/>
      </rPr>
      <t>‍</t>
    </r>
    <r>
      <rPr>
        <b/>
        <sz val="14"/>
        <color rgb="FFE6417F"/>
        <rFont val="Microsoft YaHei"/>
        <charset val="134"/>
      </rPr>
      <t>💻 工程师开发指引 — 基于客户 逻辑实施</t>
    </r>
  </si>
  <si>
    <t>📋 13.1 推荐技术栈</t>
  </si>
  <si>
    <t>层级</t>
  </si>
  <si>
    <t>技术选择</t>
  </si>
  <si>
    <t>理由</t>
  </si>
  <si>
    <t>成本</t>
  </si>
  <si>
    <t>前端</t>
  </si>
  <si>
    <t>Vue 3 + TypeScript</t>
  </si>
  <si>
    <t>STRATRONIX 现有栈</t>
  </si>
  <si>
    <t>开源免费</t>
  </si>
  <si>
    <t>UI 组件</t>
  </si>
  <si>
    <t>Element Plus / Naive UI</t>
  </si>
  <si>
    <t>中后台成熟方案</t>
  </si>
  <si>
    <t>后端</t>
  </si>
  <si>
    <t>Node.js (Express/NestJS) 或 Python (FastAPI)</t>
  </si>
  <si>
    <t>已有后端 FastAPI 在 8081</t>
  </si>
  <si>
    <t>数据库</t>
  </si>
  <si>
    <t>PostgreSQL 16</t>
  </si>
  <si>
    <t>JSONB 支持 custom_fields</t>
  </si>
  <si>
    <t>缓存</t>
  </si>
  <si>
    <t>Redis 7</t>
  </si>
  <si>
    <t>会话、热点缓存</t>
  </si>
  <si>
    <t>任务队列</t>
  </si>
  <si>
    <t>Bull / Celery</t>
  </si>
  <si>
    <t>异步任务（邮件、审批）</t>
  </si>
  <si>
    <t>全文搜索</t>
  </si>
  <si>
    <t>Meilisearch / Elasticsearch</t>
  </si>
  <si>
    <t>客户/产品搜索</t>
  </si>
  <si>
    <t>对象存储</t>
  </si>
  <si>
    <t>MinIO</t>
  </si>
  <si>
    <t>文件/图片</t>
  </si>
  <si>
    <t>S3 兼容</t>
  </si>
  <si>
    <t>部署</t>
  </si>
  <si>
    <t>Docker + Kubernetes</t>
  </si>
  <si>
    <t>监控</t>
  </si>
  <si>
    <t>Prometheus + Grafana</t>
  </si>
  <si>
    <t>📋 13.2 开发阶段（MVP 12 周）</t>
  </si>
  <si>
    <t>阶段</t>
  </si>
  <si>
    <t>周次</t>
  </si>
  <si>
    <t>交付物</t>
  </si>
  <si>
    <t>负责</t>
  </si>
  <si>
    <t>验收</t>
  </si>
  <si>
    <t>Phase 1</t>
  </si>
  <si>
    <t>1-2 周</t>
  </si>
  <si>
    <t>数据库设计 + 基础表 + 用户认证 + Tenant 隔离</t>
  </si>
  <si>
    <t>注册登录可用</t>
  </si>
  <si>
    <t>Phase 2</t>
  </si>
  <si>
    <t>3-4 周</t>
  </si>
  <si>
    <t>Accounts + Contacts CRUD + 列表 + 搜索</t>
  </si>
  <si>
    <t>后端+前端</t>
  </si>
  <si>
    <t>客户管理完成</t>
  </si>
  <si>
    <t>Phase 3</t>
  </si>
  <si>
    <t>5-6 周</t>
  </si>
  <si>
    <t>Leads CRUD + Convert Lead 流程（自动创建 Account/Contact/Deal）</t>
  </si>
  <si>
    <t>线索转化流程</t>
  </si>
  <si>
    <t>Phase 4</t>
  </si>
  <si>
    <t>7-8 周</t>
  </si>
  <si>
    <t>Products + Price Books + Deals CRUD</t>
  </si>
  <si>
    <t>产品+商机</t>
  </si>
  <si>
    <t>Phase 5</t>
  </si>
  <si>
    <t>9-10 周</t>
  </si>
  <si>
    <t>Quotes + Sales Orders + Invoices（含 Line Items + 状态流转）</t>
  </si>
  <si>
    <t>订单全流程</t>
  </si>
  <si>
    <t>Phase 6</t>
  </si>
  <si>
    <t>11 周</t>
  </si>
  <si>
    <t>工作流引擎（规则触发器 + 邮件发送）</t>
  </si>
  <si>
    <t>自动化规则</t>
  </si>
  <si>
    <t>Phase 7</t>
  </si>
  <si>
    <t>12 周</t>
  </si>
  <si>
    <t>审批流程 + 报表 + 看板（Pipeline Kanban）</t>
  </si>
  <si>
    <t>全栈</t>
  </si>
  <si>
    <t>可视化</t>
  </si>
  <si>
    <t>📋 13.3 REST API 设计（示例）</t>
  </si>
  <si>
    <t xml:space="preserve">
# 客户
GET    /api/v1/accounts                    # 列表（分页、过滤）
POST   /api/v1/accounts                    # 创建
GET    /api/v1/accounts/:id                # 详情
PATCH  /api/v1/accounts/:id                # 更新
DELETE /api/v1/accounts/:id                # 删除（软删）
POST   /api/v1/accounts/:id/convert        # Convert Lead
# 联系人
GET    /api/v1/contacts?account_id=:id     # 按客户查询
POST   /api/v1/contacts
PATCH  /api/v1/contacts/:id
# 商机
GET    /api/v1/deals?stage=:stage          # 按阶段
POST   /api/v1/deals
PATCH  /api/v1/deals/:id
POST   /api/v1/deals/:id/stage             # 推进阶段（Blueprint）
# 报价
POST   /api/v1/quotes
POST   /api/v1/quotes/:id/convert-to-so    # 转 Sales Order
# 订单
POST   /api/v1/sales-orders
POST   /api/v1/sales-orders/:id/invoice    # 生成 Invoice
# 发票
POST   /api/v1/invoices/:id/send           # 发送邮件
POST   /api/v1/invoices/:id/payment        # 记录收款
# 产品
GET    /api/v1/products?active=true
POST   /api/v1/products
# 价格表
GET    /api/v1/price-books/:id/products    # 获取该价格表所有产品价格
</t>
  </si>
  <si>
    <t>📋 13.4 关键性能要求（SLO）</t>
  </si>
  <si>
    <t>指标</t>
  </si>
  <si>
    <t>目标</t>
  </si>
  <si>
    <t>测量方法</t>
  </si>
  <si>
    <t>责任人</t>
  </si>
  <si>
    <t>API P95 响应时间</t>
  </si>
  <si>
    <t>&lt; 300ms</t>
  </si>
  <si>
    <t>Prometheus</t>
  </si>
  <si>
    <t>读 &lt; 500ms / 写 &lt; 800ms</t>
  </si>
  <si>
    <t>页面首屏加载</t>
  </si>
  <si>
    <t>&lt; 1.5s</t>
  </si>
  <si>
    <t>Lighthouse</t>
  </si>
  <si>
    <t>LCP &lt; 2.5s</t>
  </si>
  <si>
    <t>列表查询 1000 行</t>
  </si>
  <si>
    <t>&lt; 500ms</t>
  </si>
  <si>
    <t>k6 压测</t>
  </si>
  <si>
    <t>系统可用性</t>
  </si>
  <si>
    <t>99.9%</t>
  </si>
  <si>
    <t>Pingdom</t>
  </si>
  <si>
    <t>SRE</t>
  </si>
  <si>
    <t>每月停机 &lt; 43 分钟</t>
  </si>
  <si>
    <t>数据库备份</t>
  </si>
  <si>
    <t>RPO 1h / RTO 4h</t>
  </si>
  <si>
    <t>PITR</t>
  </si>
  <si>
    <t>每天快照</t>
  </si>
  <si>
    <t>并发用户</t>
  </si>
  <si>
    <t>500 同时在线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</si>
</sst>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E6417F"/>
      <name val="Microsoft YaHei"/>
      <charset val="134"/>
    </font>
    <font>
      <b/>
      <sz val="12"/>
      <color rgb="FFE6417F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9"/>
      <name val="Courier New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SimSun"/>
      <charset val="134"/>
    </font>
    <font>
      <b/>
      <sz val="14"/>
      <color rgb="FFE6417F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E6417F"/>
        <bgColor rgb="FFE6417F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rgb="FFFFF5F8"/>
        <bgColor rgb="FFFFF5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1" fillId="0" borderId="0" xfId="0" applyFont="1"/>
    <xf numFmtId="0" fontId="4" fillId="4" borderId="1" xfId="0" applyFont="1" applyFill="1" applyBorder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0" fillId="4" borderId="0" xfId="0" applyFill="1"/>
    <xf numFmtId="0" fontId="5" fillId="5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281305</xdr:colOff>
      <xdr:row>3</xdr:row>
      <xdr:rowOff>319405</xdr:rowOff>
    </xdr:from>
    <xdr:to>
      <xdr:col>23</xdr:col>
      <xdr:colOff>100965</xdr:colOff>
      <xdr:row>17</xdr:row>
      <xdr:rowOff>252730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96705" y="944245"/>
          <a:ext cx="9695180" cy="5241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198120</xdr:colOff>
      <xdr:row>19</xdr:row>
      <xdr:rowOff>121920</xdr:rowOff>
    </xdr:from>
    <xdr:to>
      <xdr:col>15</xdr:col>
      <xdr:colOff>76200</xdr:colOff>
      <xdr:row>20</xdr:row>
      <xdr:rowOff>228600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113520" y="6817360"/>
          <a:ext cx="4815840" cy="487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106680</xdr:colOff>
      <xdr:row>3</xdr:row>
      <xdr:rowOff>144780</xdr:rowOff>
    </xdr:from>
    <xdr:to>
      <xdr:col>24</xdr:col>
      <xdr:colOff>329565</xdr:colOff>
      <xdr:row>25</xdr:row>
      <xdr:rowOff>1448435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22080" y="1013460"/>
          <a:ext cx="10715625" cy="9477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167640</xdr:colOff>
      <xdr:row>4</xdr:row>
      <xdr:rowOff>73660</xdr:rowOff>
    </xdr:from>
    <xdr:to>
      <xdr:col>15</xdr:col>
      <xdr:colOff>464820</xdr:colOff>
      <xdr:row>16</xdr:row>
      <xdr:rowOff>1254125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00260" y="1297940"/>
          <a:ext cx="4617720" cy="55695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K10" sqref="K10"/>
    </sheetView>
  </sheetViews>
  <sheetFormatPr defaultColWidth="9" defaultRowHeight="14.4" outlineLevelCol="5"/>
  <cols>
    <col min="1" max="2" width="14" customWidth="1"/>
    <col min="3" max="3" width="10" customWidth="1"/>
    <col min="4" max="4" width="30" customWidth="1"/>
    <col min="5" max="5" width="22" customWidth="1"/>
    <col min="6" max="6" width="28" customWidth="1"/>
  </cols>
  <sheetData>
    <row r="1" ht="28" customHeight="1" spans="1:6">
      <c r="A1" s="6" t="s">
        <v>0</v>
      </c>
    </row>
    <row r="2" spans="1:6">
      <c r="A2" t="s">
        <v>1</v>
      </c>
    </row>
    <row r="4" ht="15.6" spans="1:6">
      <c r="A4" s="2" t="s">
        <v>2</v>
      </c>
    </row>
    <row r="5" ht="280" customHeight="1" spans="1:6">
      <c r="A5" s="10" t="s">
        <v>3</v>
      </c>
    </row>
    <row r="7" ht="28" customHeight="1" spans="1:6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</row>
    <row r="8" ht="30" customHeight="1" spans="1:6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ht="30" customHeight="1" spans="1:6">
      <c r="A9" s="4" t="s">
        <v>16</v>
      </c>
      <c r="B9" s="4" t="s">
        <v>17</v>
      </c>
      <c r="C9" s="4" t="s">
        <v>18</v>
      </c>
      <c r="D9" s="4" t="s">
        <v>19</v>
      </c>
      <c r="E9" s="4" t="s">
        <v>20</v>
      </c>
      <c r="F9" s="4" t="s">
        <v>21</v>
      </c>
    </row>
    <row r="10" ht="30" customHeight="1" spans="1:6">
      <c r="A10" s="4" t="s">
        <v>22</v>
      </c>
      <c r="B10" s="4" t="s">
        <v>23</v>
      </c>
      <c r="C10" s="4" t="s">
        <v>18</v>
      </c>
      <c r="D10" s="4" t="s">
        <v>24</v>
      </c>
      <c r="E10" s="4" t="s">
        <v>25</v>
      </c>
      <c r="F10" s="4" t="s">
        <v>26</v>
      </c>
    </row>
    <row r="11" ht="30" customHeight="1" spans="1:6">
      <c r="A11" s="4" t="s">
        <v>27</v>
      </c>
      <c r="B11" s="4" t="s">
        <v>28</v>
      </c>
      <c r="C11" s="4" t="s">
        <v>28</v>
      </c>
      <c r="D11" s="4" t="s">
        <v>29</v>
      </c>
      <c r="E11" s="4" t="s">
        <v>30</v>
      </c>
      <c r="F11" s="4" t="s">
        <v>31</v>
      </c>
    </row>
    <row r="14" ht="15.6" spans="1:6">
      <c r="A14" s="2" t="s">
        <v>32</v>
      </c>
    </row>
    <row r="15" ht="240" customHeight="1" spans="1:6">
      <c r="A15" s="8" t="s">
        <v>33</v>
      </c>
    </row>
  </sheetData>
  <mergeCells count="6">
    <mergeCell ref="A1:F1"/>
    <mergeCell ref="A2:F2"/>
    <mergeCell ref="A4:F4"/>
    <mergeCell ref="A5:F5"/>
    <mergeCell ref="A14:F14"/>
    <mergeCell ref="A15:F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C23" sqref="C23"/>
    </sheetView>
  </sheetViews>
  <sheetFormatPr defaultColWidth="9" defaultRowHeight="14.4" outlineLevelCol="6"/>
  <cols>
    <col min="1" max="1" width="4" customWidth="1"/>
    <col min="2" max="2" width="22" customWidth="1"/>
    <col min="3" max="3" width="16" customWidth="1"/>
    <col min="4" max="4" width="18" customWidth="1"/>
    <col min="5" max="5" width="6" customWidth="1"/>
    <col min="6" max="6" width="14" customWidth="1"/>
    <col min="7" max="7" width="50" customWidth="1"/>
  </cols>
  <sheetData>
    <row r="1" ht="20.4" spans="1:7">
      <c r="A1" s="6" t="s">
        <v>34</v>
      </c>
    </row>
    <row r="2" spans="1:7">
      <c r="A2" t="s">
        <v>35</v>
      </c>
    </row>
    <row r="4" ht="28" customHeight="1" spans="1:7">
      <c r="A4" s="3" t="s">
        <v>36</v>
      </c>
      <c r="B4" s="3" t="s">
        <v>37</v>
      </c>
      <c r="C4" s="3" t="s">
        <v>5</v>
      </c>
      <c r="D4" s="3" t="s">
        <v>6</v>
      </c>
      <c r="E4" s="3" t="s">
        <v>38</v>
      </c>
      <c r="F4" s="3" t="s">
        <v>39</v>
      </c>
      <c r="G4" s="3" t="s">
        <v>40</v>
      </c>
    </row>
    <row r="5" ht="30" customHeight="1" spans="1:7">
      <c r="A5" s="4">
        <v>1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45</v>
      </c>
    </row>
    <row r="6" ht="30" customHeight="1" spans="1:7">
      <c r="A6" s="4">
        <v>2</v>
      </c>
      <c r="B6" s="4" t="s">
        <v>46</v>
      </c>
      <c r="C6" s="4" t="s">
        <v>47</v>
      </c>
      <c r="D6" s="4" t="s">
        <v>48</v>
      </c>
      <c r="E6" s="4" t="s">
        <v>44</v>
      </c>
      <c r="F6" s="4" t="s">
        <v>49</v>
      </c>
      <c r="G6" s="4" t="s">
        <v>50</v>
      </c>
    </row>
    <row r="7" ht="30" customHeight="1" spans="1:7">
      <c r="A7" s="4">
        <v>3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4" t="s">
        <v>56</v>
      </c>
    </row>
    <row r="8" s="9" customFormat="1" ht="30" customHeight="1" spans="1:7">
      <c r="A8" s="7">
        <v>4</v>
      </c>
      <c r="B8" s="7" t="s">
        <v>57</v>
      </c>
      <c r="C8" s="7" t="s">
        <v>58</v>
      </c>
      <c r="D8" s="7" t="s">
        <v>59</v>
      </c>
      <c r="E8" s="7" t="s">
        <v>44</v>
      </c>
      <c r="F8" s="7" t="s">
        <v>45</v>
      </c>
      <c r="G8" s="7" t="s">
        <v>60</v>
      </c>
    </row>
    <row r="9" ht="30" customHeight="1" spans="1:7">
      <c r="A9" s="4">
        <v>5</v>
      </c>
      <c r="B9" s="4" t="s">
        <v>61</v>
      </c>
      <c r="C9" s="4" t="s">
        <v>62</v>
      </c>
      <c r="D9" s="4" t="s">
        <v>59</v>
      </c>
      <c r="E9" s="4" t="s">
        <v>54</v>
      </c>
      <c r="F9" s="4" t="s">
        <v>45</v>
      </c>
      <c r="G9" s="4" t="s">
        <v>63</v>
      </c>
    </row>
    <row r="10" s="9" customFormat="1" ht="30" customHeight="1" spans="1:7">
      <c r="A10" s="7">
        <v>7</v>
      </c>
      <c r="B10" s="7" t="s">
        <v>64</v>
      </c>
      <c r="C10" s="7" t="s">
        <v>65</v>
      </c>
      <c r="D10" s="7" t="s">
        <v>59</v>
      </c>
      <c r="E10" s="7" t="s">
        <v>54</v>
      </c>
      <c r="F10" s="7" t="s">
        <v>45</v>
      </c>
      <c r="G10" s="7" t="s">
        <v>66</v>
      </c>
    </row>
    <row r="11" ht="30" customHeight="1" spans="1:7">
      <c r="A11" s="4">
        <v>8</v>
      </c>
      <c r="B11" s="4" t="s">
        <v>67</v>
      </c>
      <c r="C11" s="4" t="s">
        <v>68</v>
      </c>
      <c r="D11" s="4" t="s">
        <v>67</v>
      </c>
      <c r="E11" s="4" t="s">
        <v>44</v>
      </c>
      <c r="F11" s="4" t="s">
        <v>45</v>
      </c>
      <c r="G11" s="4" t="s">
        <v>69</v>
      </c>
    </row>
    <row r="12" ht="30" customHeight="1" spans="1:7">
      <c r="A12" s="4">
        <v>10</v>
      </c>
      <c r="B12" s="4" t="s">
        <v>70</v>
      </c>
      <c r="C12" s="4" t="s">
        <v>71</v>
      </c>
      <c r="D12" s="4" t="s">
        <v>72</v>
      </c>
      <c r="E12" s="4" t="s">
        <v>54</v>
      </c>
      <c r="F12" s="4" t="s">
        <v>45</v>
      </c>
      <c r="G12" s="4" t="s">
        <v>45</v>
      </c>
    </row>
    <row r="13" ht="30" customHeight="1" spans="1:7">
      <c r="A13" s="4">
        <v>12</v>
      </c>
      <c r="B13" s="4" t="s">
        <v>73</v>
      </c>
      <c r="C13" s="4" t="s">
        <v>74</v>
      </c>
      <c r="D13" s="4" t="s">
        <v>59</v>
      </c>
      <c r="E13" s="4" t="s">
        <v>54</v>
      </c>
      <c r="F13" s="4" t="s">
        <v>45</v>
      </c>
      <c r="G13" s="4" t="s">
        <v>75</v>
      </c>
    </row>
    <row r="14" ht="30" customHeight="1" spans="1:7">
      <c r="A14" s="4">
        <v>13</v>
      </c>
      <c r="B14" s="4" t="s">
        <v>76</v>
      </c>
      <c r="C14" s="4" t="s">
        <v>77</v>
      </c>
      <c r="D14" s="4" t="s">
        <v>78</v>
      </c>
      <c r="E14" s="4" t="s">
        <v>54</v>
      </c>
      <c r="F14" s="4" t="s">
        <v>45</v>
      </c>
      <c r="G14" s="4" t="s">
        <v>45</v>
      </c>
    </row>
    <row r="15" ht="30" customHeight="1" spans="1:7">
      <c r="A15" s="4">
        <v>15</v>
      </c>
      <c r="B15" s="4" t="s">
        <v>79</v>
      </c>
      <c r="C15" s="4" t="s">
        <v>80</v>
      </c>
      <c r="D15" s="4" t="s">
        <v>48</v>
      </c>
      <c r="E15" s="4" t="s">
        <v>54</v>
      </c>
      <c r="F15" s="4" t="s">
        <v>81</v>
      </c>
      <c r="G15" s="4" t="s">
        <v>45</v>
      </c>
    </row>
    <row r="16" ht="30" customHeight="1" spans="1:7">
      <c r="A16" s="4">
        <v>16</v>
      </c>
      <c r="B16" s="4" t="s">
        <v>82</v>
      </c>
      <c r="C16" s="4" t="s">
        <v>83</v>
      </c>
      <c r="D16" s="4" t="s">
        <v>48</v>
      </c>
      <c r="E16" s="4" t="s">
        <v>54</v>
      </c>
      <c r="F16" s="4" t="s">
        <v>84</v>
      </c>
      <c r="G16" s="4" t="s">
        <v>45</v>
      </c>
    </row>
    <row r="17" ht="30" customHeight="1" spans="1:7">
      <c r="A17" s="4">
        <v>17</v>
      </c>
      <c r="B17" s="4" t="s">
        <v>85</v>
      </c>
      <c r="C17" s="4" t="s">
        <v>86</v>
      </c>
      <c r="D17" s="4" t="s">
        <v>48</v>
      </c>
      <c r="E17" s="4" t="s">
        <v>54</v>
      </c>
      <c r="F17" s="4" t="s">
        <v>84</v>
      </c>
      <c r="G17" s="4" t="s">
        <v>45</v>
      </c>
    </row>
    <row r="18" ht="30" customHeight="1" spans="1:7">
      <c r="A18" s="4">
        <v>18</v>
      </c>
      <c r="B18" s="4" t="s">
        <v>87</v>
      </c>
      <c r="C18" s="4" t="s">
        <v>88</v>
      </c>
      <c r="D18" s="4" t="s">
        <v>48</v>
      </c>
      <c r="E18" s="4" t="s">
        <v>54</v>
      </c>
      <c r="F18" s="4" t="s">
        <v>84</v>
      </c>
      <c r="G18" s="4" t="s">
        <v>45</v>
      </c>
    </row>
    <row r="19" ht="30" customHeight="1" spans="1:7">
      <c r="A19" s="4">
        <v>19</v>
      </c>
      <c r="B19" s="4" t="s">
        <v>89</v>
      </c>
      <c r="C19" s="4" t="s">
        <v>90</v>
      </c>
      <c r="D19" s="4" t="s">
        <v>48</v>
      </c>
      <c r="E19" s="4" t="s">
        <v>54</v>
      </c>
      <c r="F19" s="4" t="s">
        <v>84</v>
      </c>
      <c r="G19" s="4" t="s">
        <v>45</v>
      </c>
    </row>
    <row r="20" ht="30" customHeight="1" spans="1:7">
      <c r="A20" s="4">
        <v>20</v>
      </c>
      <c r="B20" s="4" t="s">
        <v>91</v>
      </c>
      <c r="C20" s="4" t="s">
        <v>92</v>
      </c>
      <c r="D20" s="4" t="s">
        <v>48</v>
      </c>
      <c r="E20" s="4" t="s">
        <v>54</v>
      </c>
      <c r="F20" s="4" t="s">
        <v>81</v>
      </c>
      <c r="G20" s="4" t="s">
        <v>45</v>
      </c>
    </row>
    <row r="21" s="9" customFormat="1" ht="30" customHeight="1" spans="1:7">
      <c r="A21" s="7">
        <v>21</v>
      </c>
      <c r="B21" s="7" t="s">
        <v>93</v>
      </c>
      <c r="C21" s="7" t="s">
        <v>94</v>
      </c>
      <c r="D21" s="7" t="s">
        <v>95</v>
      </c>
      <c r="E21" s="7" t="s">
        <v>54</v>
      </c>
      <c r="F21" s="7" t="s">
        <v>96</v>
      </c>
      <c r="G21" s="7" t="s">
        <v>45</v>
      </c>
    </row>
    <row r="22" ht="30" customHeight="1" spans="1:7">
      <c r="A22" s="4">
        <v>23</v>
      </c>
      <c r="B22" s="4" t="s">
        <v>76</v>
      </c>
      <c r="C22" s="4" t="s">
        <v>77</v>
      </c>
      <c r="D22" s="4" t="s">
        <v>78</v>
      </c>
      <c r="E22" s="4" t="s">
        <v>54</v>
      </c>
      <c r="F22" s="4" t="s">
        <v>45</v>
      </c>
      <c r="G22" s="4" t="s">
        <v>45</v>
      </c>
    </row>
    <row r="23" ht="30" customHeight="1" spans="1:7">
      <c r="A23" s="4">
        <v>24</v>
      </c>
      <c r="B23" s="4" t="s">
        <v>97</v>
      </c>
      <c r="C23" s="4" t="s">
        <v>98</v>
      </c>
      <c r="D23" s="4" t="s">
        <v>99</v>
      </c>
      <c r="E23" s="4" t="s">
        <v>54</v>
      </c>
      <c r="F23" s="4" t="s">
        <v>45</v>
      </c>
      <c r="G23" s="4" t="s">
        <v>100</v>
      </c>
    </row>
    <row r="24" ht="30" customHeight="1" spans="1:7">
      <c r="A24" s="4">
        <v>25</v>
      </c>
      <c r="B24" s="4" t="s">
        <v>101</v>
      </c>
      <c r="C24" s="4" t="s">
        <v>101</v>
      </c>
      <c r="D24" s="4" t="s">
        <v>72</v>
      </c>
      <c r="E24" s="4" t="s">
        <v>54</v>
      </c>
      <c r="F24" s="4" t="s">
        <v>45</v>
      </c>
      <c r="G24" s="4" t="s">
        <v>45</v>
      </c>
    </row>
    <row r="25" ht="30" customHeight="1" spans="1:7">
      <c r="A25" s="4">
        <v>26</v>
      </c>
      <c r="B25" s="4" t="s">
        <v>102</v>
      </c>
      <c r="C25" s="4" t="s">
        <v>103</v>
      </c>
      <c r="D25" s="4" t="s">
        <v>43</v>
      </c>
      <c r="E25" s="4" t="s">
        <v>44</v>
      </c>
      <c r="F25" s="4" t="s">
        <v>45</v>
      </c>
      <c r="G25" s="4" t="s">
        <v>104</v>
      </c>
    </row>
    <row r="26" ht="30" customHeight="1" spans="1:7">
      <c r="A26" s="4">
        <v>27</v>
      </c>
      <c r="B26" s="4" t="s">
        <v>105</v>
      </c>
      <c r="C26" s="4" t="s">
        <v>106</v>
      </c>
      <c r="D26" s="4" t="s">
        <v>107</v>
      </c>
      <c r="E26" s="4" t="s">
        <v>44</v>
      </c>
      <c r="F26" s="4" t="s">
        <v>45</v>
      </c>
      <c r="G26" s="4" t="s">
        <v>104</v>
      </c>
    </row>
    <row r="27" ht="30" customHeight="1" spans="1:7">
      <c r="A27" s="4">
        <v>28</v>
      </c>
      <c r="B27" s="4" t="s">
        <v>108</v>
      </c>
      <c r="C27" s="4" t="s">
        <v>109</v>
      </c>
      <c r="D27" s="4" t="s">
        <v>43</v>
      </c>
      <c r="E27" s="4" t="s">
        <v>44</v>
      </c>
      <c r="F27" s="4" t="s">
        <v>45</v>
      </c>
      <c r="G27" s="4" t="s">
        <v>104</v>
      </c>
    </row>
    <row r="28" ht="30" customHeight="1" spans="1:7">
      <c r="A28" s="4">
        <v>29</v>
      </c>
      <c r="B28" s="4" t="s">
        <v>110</v>
      </c>
      <c r="C28" s="4" t="s">
        <v>111</v>
      </c>
      <c r="D28" s="4" t="s">
        <v>107</v>
      </c>
      <c r="E28" s="4" t="s">
        <v>44</v>
      </c>
      <c r="F28" s="4" t="s">
        <v>45</v>
      </c>
      <c r="G28" s="4" t="s">
        <v>104</v>
      </c>
    </row>
    <row r="29" s="9" customFormat="1" spans="1:7">
      <c r="A29" s="9">
        <v>30</v>
      </c>
      <c r="B29" s="9" t="s">
        <v>112</v>
      </c>
      <c r="C29" s="9" t="s">
        <v>113</v>
      </c>
    </row>
    <row r="31" ht="15.6" spans="1:7">
      <c r="A31" s="2" t="s">
        <v>114</v>
      </c>
    </row>
    <row r="32" ht="280" customHeight="1" spans="1:7">
      <c r="A32" s="8" t="s">
        <v>115</v>
      </c>
    </row>
  </sheetData>
  <mergeCells count="4">
    <mergeCell ref="A1:G1"/>
    <mergeCell ref="A2:G2"/>
    <mergeCell ref="A31:G31"/>
    <mergeCell ref="A32:G3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K6" sqref="K6"/>
    </sheetView>
  </sheetViews>
  <sheetFormatPr defaultColWidth="9" defaultRowHeight="14.4" outlineLevelCol="6"/>
  <cols>
    <col min="1" max="1" width="4" customWidth="1"/>
    <col min="2" max="2" width="22" customWidth="1"/>
    <col min="3" max="3" width="16" customWidth="1"/>
    <col min="4" max="4" width="18" customWidth="1"/>
    <col min="5" max="5" width="6" customWidth="1"/>
    <col min="6" max="6" width="14" customWidth="1"/>
    <col min="7" max="7" width="50" customWidth="1"/>
  </cols>
  <sheetData>
    <row r="1" ht="24" customHeight="1" spans="1:7">
      <c r="A1" s="6" t="s">
        <v>116</v>
      </c>
    </row>
    <row r="2" ht="30" customHeight="1" spans="1:7">
      <c r="A2" t="s">
        <v>117</v>
      </c>
    </row>
    <row r="4" ht="28" customHeight="1" spans="1:7">
      <c r="A4" s="3" t="s">
        <v>36</v>
      </c>
      <c r="B4" s="3" t="s">
        <v>37</v>
      </c>
      <c r="C4" s="3" t="s">
        <v>5</v>
      </c>
      <c r="D4" s="3" t="s">
        <v>6</v>
      </c>
      <c r="E4" s="3" t="s">
        <v>38</v>
      </c>
      <c r="F4" s="3" t="s">
        <v>39</v>
      </c>
      <c r="G4" s="3" t="s">
        <v>40</v>
      </c>
    </row>
    <row r="5" ht="30" customHeight="1" spans="1:7">
      <c r="A5" s="4">
        <v>1</v>
      </c>
      <c r="B5" s="4" t="s">
        <v>118</v>
      </c>
      <c r="C5" s="4" t="s">
        <v>119</v>
      </c>
      <c r="D5" s="4" t="s">
        <v>43</v>
      </c>
      <c r="E5" s="4" t="s">
        <v>44</v>
      </c>
      <c r="F5" s="4" t="s">
        <v>45</v>
      </c>
      <c r="G5" s="4" t="s">
        <v>45</v>
      </c>
    </row>
    <row r="6" ht="30" customHeight="1" spans="1:7">
      <c r="A6" s="4">
        <v>2</v>
      </c>
      <c r="B6" s="4" t="s">
        <v>120</v>
      </c>
      <c r="C6" s="4" t="s">
        <v>121</v>
      </c>
      <c r="D6" s="4" t="s">
        <v>48</v>
      </c>
      <c r="E6" s="4" t="s">
        <v>44</v>
      </c>
      <c r="F6" s="4" t="s">
        <v>122</v>
      </c>
      <c r="G6" s="4" t="s">
        <v>123</v>
      </c>
    </row>
    <row r="7" ht="30" customHeight="1" spans="1:7">
      <c r="A7" s="4">
        <v>3</v>
      </c>
      <c r="B7" s="4" t="s">
        <v>124</v>
      </c>
      <c r="C7" s="4" t="s">
        <v>125</v>
      </c>
      <c r="D7" s="4" t="s">
        <v>53</v>
      </c>
      <c r="E7" s="4" t="s">
        <v>44</v>
      </c>
      <c r="F7" s="4" t="s">
        <v>55</v>
      </c>
      <c r="G7" s="4" t="s">
        <v>126</v>
      </c>
    </row>
    <row r="8" ht="30" customHeight="1" spans="1:7">
      <c r="A8" s="4">
        <v>4</v>
      </c>
      <c r="B8" s="4" t="s">
        <v>127</v>
      </c>
      <c r="C8" s="4" t="s">
        <v>128</v>
      </c>
      <c r="D8" s="4" t="s">
        <v>59</v>
      </c>
      <c r="E8" s="4" t="s">
        <v>44</v>
      </c>
      <c r="F8" s="4" t="s">
        <v>45</v>
      </c>
      <c r="G8" s="4" t="s">
        <v>129</v>
      </c>
    </row>
    <row r="9" ht="30" customHeight="1" spans="1:7">
      <c r="A9" s="4">
        <v>5</v>
      </c>
      <c r="B9" s="4" t="s">
        <v>130</v>
      </c>
      <c r="C9" s="4" t="s">
        <v>131</v>
      </c>
      <c r="D9" s="4" t="s">
        <v>132</v>
      </c>
      <c r="E9" s="4" t="s">
        <v>44</v>
      </c>
      <c r="F9" s="4" t="s">
        <v>45</v>
      </c>
      <c r="G9" s="4" t="s">
        <v>133</v>
      </c>
    </row>
    <row r="10" ht="30" customHeight="1" spans="1:7">
      <c r="A10" s="4">
        <v>6</v>
      </c>
      <c r="B10" s="4" t="s">
        <v>46</v>
      </c>
      <c r="C10" s="4" t="s">
        <v>12</v>
      </c>
      <c r="D10" s="4" t="s">
        <v>134</v>
      </c>
      <c r="E10" s="4" t="s">
        <v>44</v>
      </c>
      <c r="F10" s="4" t="s">
        <v>45</v>
      </c>
      <c r="G10" s="4" t="s">
        <v>45</v>
      </c>
    </row>
    <row r="11" ht="30" customHeight="1" spans="1:7">
      <c r="A11" s="4">
        <v>7</v>
      </c>
      <c r="B11" s="4" t="s">
        <v>135</v>
      </c>
      <c r="C11" s="4" t="s">
        <v>136</v>
      </c>
      <c r="D11" s="4" t="s">
        <v>137</v>
      </c>
      <c r="E11" s="4" t="s">
        <v>54</v>
      </c>
      <c r="F11" s="4" t="s">
        <v>45</v>
      </c>
      <c r="G11" s="4" t="s">
        <v>45</v>
      </c>
    </row>
    <row r="12" ht="30" customHeight="1" spans="1:7">
      <c r="A12" s="4">
        <v>8</v>
      </c>
      <c r="B12" s="4" t="s">
        <v>138</v>
      </c>
      <c r="C12" s="4" t="s">
        <v>139</v>
      </c>
      <c r="D12" s="4" t="s">
        <v>140</v>
      </c>
      <c r="E12" s="4" t="s">
        <v>54</v>
      </c>
      <c r="F12" s="4" t="s">
        <v>45</v>
      </c>
      <c r="G12" s="4" t="s">
        <v>45</v>
      </c>
    </row>
    <row r="13" ht="30" customHeight="1" spans="1:7">
      <c r="A13" s="4">
        <v>9</v>
      </c>
      <c r="B13" s="4" t="s">
        <v>141</v>
      </c>
      <c r="C13" s="4" t="s">
        <v>142</v>
      </c>
      <c r="D13" s="4" t="s">
        <v>143</v>
      </c>
      <c r="E13" s="4" t="s">
        <v>54</v>
      </c>
      <c r="F13" s="4" t="s">
        <v>45</v>
      </c>
      <c r="G13" s="4" t="s">
        <v>45</v>
      </c>
    </row>
    <row r="14" ht="30" customHeight="1" spans="1:7">
      <c r="A14" s="4">
        <v>10</v>
      </c>
      <c r="B14" s="4" t="s">
        <v>144</v>
      </c>
      <c r="C14" s="4" t="s">
        <v>145</v>
      </c>
      <c r="D14" s="4" t="s">
        <v>146</v>
      </c>
      <c r="E14" s="4" t="s">
        <v>44</v>
      </c>
      <c r="F14" s="4" t="s">
        <v>45</v>
      </c>
      <c r="G14" s="4" t="s">
        <v>147</v>
      </c>
    </row>
    <row r="15" ht="30" customHeight="1" spans="1:7">
      <c r="A15" s="4">
        <v>11</v>
      </c>
      <c r="B15" s="4" t="s">
        <v>148</v>
      </c>
      <c r="C15" s="4" t="s">
        <v>149</v>
      </c>
      <c r="D15" s="4" t="s">
        <v>146</v>
      </c>
      <c r="E15" s="4" t="s">
        <v>44</v>
      </c>
      <c r="F15" s="4" t="s">
        <v>45</v>
      </c>
      <c r="G15" s="4" t="s">
        <v>45</v>
      </c>
    </row>
    <row r="16" ht="30" customHeight="1" spans="1:7">
      <c r="A16" s="4">
        <v>12</v>
      </c>
      <c r="B16" s="4" t="s">
        <v>150</v>
      </c>
      <c r="C16" s="4" t="s">
        <v>151</v>
      </c>
      <c r="D16" s="4" t="s">
        <v>146</v>
      </c>
      <c r="E16" s="4" t="s">
        <v>54</v>
      </c>
      <c r="F16" s="4" t="s">
        <v>45</v>
      </c>
      <c r="G16" s="4" t="s">
        <v>45</v>
      </c>
    </row>
    <row r="17" ht="30" customHeight="1" spans="1:7">
      <c r="A17" s="4">
        <v>13</v>
      </c>
      <c r="B17" s="4" t="s">
        <v>152</v>
      </c>
      <c r="C17" s="4" t="s">
        <v>153</v>
      </c>
      <c r="D17" s="4" t="s">
        <v>146</v>
      </c>
      <c r="E17" s="4" t="s">
        <v>54</v>
      </c>
      <c r="F17" s="4" t="s">
        <v>45</v>
      </c>
      <c r="G17" s="4" t="s">
        <v>147</v>
      </c>
    </row>
    <row r="18" ht="30" customHeight="1" spans="1:7">
      <c r="A18" s="4">
        <v>14</v>
      </c>
      <c r="B18" s="4" t="s">
        <v>154</v>
      </c>
      <c r="C18" s="4" t="s">
        <v>155</v>
      </c>
      <c r="D18" s="4" t="s">
        <v>146</v>
      </c>
      <c r="E18" s="4" t="s">
        <v>54</v>
      </c>
      <c r="F18" s="4" t="s">
        <v>45</v>
      </c>
      <c r="G18" s="4" t="s">
        <v>45</v>
      </c>
    </row>
    <row r="19" ht="30" customHeight="1" spans="1:7">
      <c r="A19" s="4">
        <v>15</v>
      </c>
      <c r="B19" s="4" t="s">
        <v>156</v>
      </c>
      <c r="C19" s="4" t="s">
        <v>157</v>
      </c>
      <c r="D19" s="4" t="s">
        <v>146</v>
      </c>
      <c r="E19" s="4" t="s">
        <v>54</v>
      </c>
      <c r="F19" s="4" t="s">
        <v>45</v>
      </c>
      <c r="G19" s="4" t="s">
        <v>45</v>
      </c>
    </row>
    <row r="20" ht="30" customHeight="1" spans="1:7">
      <c r="A20" s="4">
        <v>16</v>
      </c>
      <c r="B20" s="4" t="s">
        <v>93</v>
      </c>
      <c r="C20" s="4" t="s">
        <v>94</v>
      </c>
      <c r="D20" s="4" t="s">
        <v>95</v>
      </c>
      <c r="E20" s="4" t="s">
        <v>54</v>
      </c>
      <c r="F20" s="4" t="s">
        <v>96</v>
      </c>
      <c r="G20" s="4" t="s">
        <v>45</v>
      </c>
    </row>
    <row r="21" ht="30" customHeight="1" spans="1:7">
      <c r="A21" s="4">
        <v>17</v>
      </c>
      <c r="B21" s="4" t="s">
        <v>158</v>
      </c>
      <c r="C21" s="4" t="s">
        <v>159</v>
      </c>
      <c r="D21" s="4" t="s">
        <v>95</v>
      </c>
      <c r="E21" s="4" t="s">
        <v>54</v>
      </c>
      <c r="F21" s="4" t="s">
        <v>160</v>
      </c>
      <c r="G21" s="4" t="s">
        <v>45</v>
      </c>
    </row>
    <row r="22" ht="30" customHeight="1" spans="1:7">
      <c r="A22" s="4">
        <v>18</v>
      </c>
      <c r="B22" s="4" t="s">
        <v>79</v>
      </c>
      <c r="C22" s="4" t="s">
        <v>80</v>
      </c>
      <c r="D22" s="4" t="s">
        <v>48</v>
      </c>
      <c r="E22" s="4" t="s">
        <v>54</v>
      </c>
      <c r="F22" s="4" t="s">
        <v>81</v>
      </c>
      <c r="G22" s="4" t="s">
        <v>161</v>
      </c>
    </row>
    <row r="23" ht="30" customHeight="1" spans="1:7">
      <c r="A23" s="4">
        <v>19</v>
      </c>
      <c r="B23" s="4" t="s">
        <v>91</v>
      </c>
      <c r="C23" s="4" t="s">
        <v>92</v>
      </c>
      <c r="D23" s="4" t="s">
        <v>48</v>
      </c>
      <c r="E23" s="4" t="s">
        <v>54</v>
      </c>
      <c r="F23" s="4" t="s">
        <v>81</v>
      </c>
      <c r="G23" s="4" t="s">
        <v>161</v>
      </c>
    </row>
    <row r="24" ht="30" customHeight="1" spans="1:7">
      <c r="A24" s="4">
        <v>20</v>
      </c>
      <c r="B24" s="4" t="s">
        <v>162</v>
      </c>
      <c r="C24" s="4" t="s">
        <v>163</v>
      </c>
      <c r="D24" s="4" t="s">
        <v>99</v>
      </c>
      <c r="E24" s="4" t="s">
        <v>45</v>
      </c>
      <c r="F24" s="4" t="s">
        <v>45</v>
      </c>
      <c r="G24" s="4" t="s">
        <v>164</v>
      </c>
    </row>
    <row r="25" ht="15.6" spans="1:7">
      <c r="A25" s="2" t="s">
        <v>165</v>
      </c>
    </row>
    <row r="26" ht="147" customHeight="1" spans="1:7">
      <c r="A26" s="8" t="s">
        <v>166</v>
      </c>
    </row>
  </sheetData>
  <mergeCells count="4">
    <mergeCell ref="A1:G1"/>
    <mergeCell ref="A2:G2"/>
    <mergeCell ref="A25:G25"/>
    <mergeCell ref="A26:G2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workbookViewId="0">
      <selection activeCell="K10" sqref="K10"/>
    </sheetView>
  </sheetViews>
  <sheetFormatPr defaultColWidth="9" defaultRowHeight="14.4"/>
  <cols>
    <col min="1" max="1" width="4" customWidth="1"/>
    <col min="2" max="2" width="22" customWidth="1"/>
    <col min="3" max="3" width="16" customWidth="1"/>
    <col min="4" max="4" width="18" customWidth="1"/>
    <col min="5" max="5" width="6" customWidth="1"/>
    <col min="6" max="6" width="14" customWidth="1"/>
    <col min="7" max="7" width="50" customWidth="1"/>
  </cols>
  <sheetData>
    <row r="1" ht="24" customHeight="1" spans="1:10">
      <c r="A1" s="6" t="s">
        <v>167</v>
      </c>
    </row>
    <row r="2" ht="30" customHeight="1" spans="1:10">
      <c r="A2" t="s">
        <v>168</v>
      </c>
    </row>
    <row r="4" ht="28" customHeight="1" spans="1:10">
      <c r="A4" s="3" t="s">
        <v>36</v>
      </c>
      <c r="B4" s="3" t="s">
        <v>37</v>
      </c>
      <c r="C4" s="3" t="s">
        <v>5</v>
      </c>
      <c r="D4" s="3" t="s">
        <v>6</v>
      </c>
      <c r="E4" s="3" t="s">
        <v>38</v>
      </c>
      <c r="F4" s="3" t="s">
        <v>39</v>
      </c>
      <c r="G4" s="3" t="s">
        <v>40</v>
      </c>
    </row>
    <row r="5" ht="30" customHeight="1" spans="1:10">
      <c r="A5" s="4">
        <v>1</v>
      </c>
      <c r="B5" s="4" t="s">
        <v>169</v>
      </c>
      <c r="C5" s="4" t="s">
        <v>170</v>
      </c>
      <c r="D5" s="4" t="s">
        <v>43</v>
      </c>
      <c r="E5" s="4" t="s">
        <v>44</v>
      </c>
      <c r="F5" s="4" t="s">
        <v>45</v>
      </c>
      <c r="G5" s="4" t="s">
        <v>45</v>
      </c>
    </row>
    <row r="6" ht="30" customHeight="1" spans="1:10">
      <c r="A6" s="4">
        <v>2</v>
      </c>
      <c r="B6" s="4" t="s">
        <v>120</v>
      </c>
      <c r="C6" s="4" t="s">
        <v>121</v>
      </c>
      <c r="D6" s="4" t="s">
        <v>48</v>
      </c>
      <c r="E6" s="4" t="s">
        <v>44</v>
      </c>
      <c r="F6" s="4" t="s">
        <v>122</v>
      </c>
      <c r="G6" s="4" t="s">
        <v>45</v>
      </c>
      <c r="J6" t="s">
        <v>171</v>
      </c>
    </row>
    <row r="7" ht="30" customHeight="1" spans="1:10">
      <c r="A7" s="4">
        <v>3</v>
      </c>
      <c r="B7" s="4" t="s">
        <v>172</v>
      </c>
      <c r="C7" s="4" t="s">
        <v>173</v>
      </c>
      <c r="D7" s="4" t="s">
        <v>53</v>
      </c>
      <c r="E7" s="4" t="s">
        <v>44</v>
      </c>
      <c r="F7" s="4" t="s">
        <v>55</v>
      </c>
      <c r="G7" s="4" t="s">
        <v>174</v>
      </c>
    </row>
    <row r="8" ht="30" customHeight="1" spans="1:10">
      <c r="A8" s="4">
        <v>4</v>
      </c>
      <c r="B8" s="4" t="s">
        <v>175</v>
      </c>
      <c r="C8" s="4" t="s">
        <v>176</v>
      </c>
      <c r="D8" s="4" t="s">
        <v>59</v>
      </c>
      <c r="E8" s="4" t="s">
        <v>44</v>
      </c>
      <c r="F8" s="4" t="s">
        <v>45</v>
      </c>
      <c r="G8" s="4" t="s">
        <v>177</v>
      </c>
    </row>
    <row r="9" ht="30" customHeight="1" spans="1:10">
      <c r="A9" s="4">
        <v>5</v>
      </c>
      <c r="B9" s="4" t="s">
        <v>178</v>
      </c>
      <c r="C9" s="4" t="s">
        <v>179</v>
      </c>
      <c r="D9" s="4" t="s">
        <v>132</v>
      </c>
      <c r="E9" s="4" t="s">
        <v>44</v>
      </c>
      <c r="F9" s="4" t="s">
        <v>45</v>
      </c>
      <c r="G9" s="4" t="s">
        <v>180</v>
      </c>
    </row>
    <row r="10" ht="30" customHeight="1" spans="1:10">
      <c r="A10" s="4">
        <v>6</v>
      </c>
      <c r="B10" s="4" t="s">
        <v>181</v>
      </c>
      <c r="C10" s="4" t="s">
        <v>182</v>
      </c>
      <c r="D10" s="4" t="s">
        <v>132</v>
      </c>
      <c r="E10" s="4" t="s">
        <v>44</v>
      </c>
      <c r="F10" s="4" t="s">
        <v>45</v>
      </c>
      <c r="G10" s="4" t="s">
        <v>183</v>
      </c>
    </row>
    <row r="11" ht="30" customHeight="1" spans="1:10">
      <c r="A11" s="4">
        <v>7</v>
      </c>
      <c r="B11" s="4" t="s">
        <v>184</v>
      </c>
      <c r="C11" s="4" t="s">
        <v>185</v>
      </c>
      <c r="D11" s="4" t="s">
        <v>186</v>
      </c>
      <c r="E11" s="4" t="s">
        <v>54</v>
      </c>
      <c r="F11" s="4" t="s">
        <v>45</v>
      </c>
      <c r="G11" s="4" t="s">
        <v>187</v>
      </c>
    </row>
    <row r="12" ht="30" customHeight="1" spans="1:10">
      <c r="A12" s="4">
        <v>8</v>
      </c>
      <c r="B12" s="4" t="s">
        <v>188</v>
      </c>
      <c r="C12" s="4" t="s">
        <v>189</v>
      </c>
      <c r="D12" s="4" t="s">
        <v>48</v>
      </c>
      <c r="E12" s="4" t="s">
        <v>54</v>
      </c>
      <c r="F12" s="4" t="s">
        <v>84</v>
      </c>
      <c r="G12" s="4" t="s">
        <v>45</v>
      </c>
    </row>
    <row r="13" ht="30" customHeight="1" spans="1:10">
      <c r="A13" s="4">
        <v>9</v>
      </c>
      <c r="B13" s="4" t="s">
        <v>46</v>
      </c>
      <c r="C13" s="4" t="s">
        <v>12</v>
      </c>
      <c r="D13" s="4" t="s">
        <v>134</v>
      </c>
      <c r="E13" s="4" t="s">
        <v>44</v>
      </c>
      <c r="F13" s="4" t="s">
        <v>45</v>
      </c>
      <c r="G13" s="4" t="s">
        <v>45</v>
      </c>
    </row>
    <row r="14" ht="30" customHeight="1" spans="1:10">
      <c r="A14" s="4">
        <v>10</v>
      </c>
      <c r="B14" s="4" t="s">
        <v>135</v>
      </c>
      <c r="C14" s="4" t="s">
        <v>136</v>
      </c>
      <c r="D14" s="4" t="s">
        <v>137</v>
      </c>
      <c r="E14" s="4" t="s">
        <v>54</v>
      </c>
      <c r="F14" s="4" t="s">
        <v>45</v>
      </c>
      <c r="G14" s="4" t="s">
        <v>45</v>
      </c>
    </row>
    <row r="15" ht="30" customHeight="1" spans="1:10">
      <c r="A15" s="4">
        <v>11</v>
      </c>
      <c r="B15" s="4" t="s">
        <v>138</v>
      </c>
      <c r="C15" s="4" t="s">
        <v>139</v>
      </c>
      <c r="D15" s="4" t="s">
        <v>140</v>
      </c>
      <c r="E15" s="4" t="s">
        <v>54</v>
      </c>
      <c r="F15" s="4" t="s">
        <v>45</v>
      </c>
      <c r="G15" s="4" t="s">
        <v>45</v>
      </c>
    </row>
    <row r="16" ht="30" customHeight="1" spans="1:10">
      <c r="A16" s="4">
        <v>12</v>
      </c>
      <c r="B16" s="4" t="s">
        <v>146</v>
      </c>
      <c r="C16" s="4" t="s">
        <v>190</v>
      </c>
      <c r="D16" s="4" t="s">
        <v>59</v>
      </c>
      <c r="E16" s="4" t="s">
        <v>44</v>
      </c>
      <c r="F16" s="4" t="s">
        <v>45</v>
      </c>
      <c r="G16" s="4" t="s">
        <v>191</v>
      </c>
    </row>
    <row r="17" ht="30" customHeight="1" spans="1:7">
      <c r="A17" s="4">
        <v>13</v>
      </c>
      <c r="B17" s="4" t="s">
        <v>192</v>
      </c>
      <c r="C17" s="4" t="s">
        <v>193</v>
      </c>
      <c r="D17" s="4" t="s">
        <v>78</v>
      </c>
      <c r="E17" s="4" t="s">
        <v>54</v>
      </c>
      <c r="F17" s="4" t="s">
        <v>45</v>
      </c>
      <c r="G17" s="4" t="s">
        <v>45</v>
      </c>
    </row>
    <row r="18" ht="30" customHeight="1" spans="1:7">
      <c r="A18" s="4">
        <v>14</v>
      </c>
      <c r="B18" s="4" t="s">
        <v>144</v>
      </c>
      <c r="C18" s="4" t="s">
        <v>145</v>
      </c>
      <c r="D18" s="4" t="s">
        <v>146</v>
      </c>
      <c r="E18" s="4" t="s">
        <v>44</v>
      </c>
      <c r="F18" s="4" t="s">
        <v>45</v>
      </c>
      <c r="G18" s="4" t="s">
        <v>45</v>
      </c>
    </row>
    <row r="19" ht="30" customHeight="1" spans="1:7">
      <c r="A19" s="4">
        <v>15</v>
      </c>
      <c r="B19" s="4" t="s">
        <v>148</v>
      </c>
      <c r="C19" s="4" t="s">
        <v>149</v>
      </c>
      <c r="D19" s="4" t="s">
        <v>146</v>
      </c>
      <c r="E19" s="4" t="s">
        <v>44</v>
      </c>
      <c r="F19" s="4" t="s">
        <v>45</v>
      </c>
      <c r="G19" s="4" t="s">
        <v>45</v>
      </c>
    </row>
    <row r="20" ht="30" customHeight="1" spans="1:7">
      <c r="A20" s="4">
        <v>16</v>
      </c>
      <c r="B20" s="4" t="s">
        <v>150</v>
      </c>
      <c r="C20" s="4" t="s">
        <v>151</v>
      </c>
      <c r="D20" s="4" t="s">
        <v>146</v>
      </c>
      <c r="E20" s="4" t="s">
        <v>54</v>
      </c>
      <c r="F20" s="4" t="s">
        <v>45</v>
      </c>
      <c r="G20" s="4" t="s">
        <v>45</v>
      </c>
    </row>
    <row r="21" ht="30" customHeight="1" spans="1:7">
      <c r="A21" s="4">
        <v>17</v>
      </c>
      <c r="B21" s="4" t="s">
        <v>152</v>
      </c>
      <c r="C21" s="4" t="s">
        <v>153</v>
      </c>
      <c r="D21" s="4" t="s">
        <v>146</v>
      </c>
      <c r="E21" s="4" t="s">
        <v>54</v>
      </c>
      <c r="F21" s="4" t="s">
        <v>45</v>
      </c>
      <c r="G21" s="4" t="s">
        <v>45</v>
      </c>
    </row>
    <row r="22" ht="30" customHeight="1" spans="1:7">
      <c r="A22" s="4">
        <v>18</v>
      </c>
      <c r="B22" s="4" t="s">
        <v>154</v>
      </c>
      <c r="C22" s="4" t="s">
        <v>155</v>
      </c>
      <c r="D22" s="4" t="s">
        <v>146</v>
      </c>
      <c r="E22" s="4" t="s">
        <v>54</v>
      </c>
      <c r="F22" s="4" t="s">
        <v>45</v>
      </c>
      <c r="G22" s="4" t="s">
        <v>45</v>
      </c>
    </row>
    <row r="23" ht="30" customHeight="1" spans="1:7">
      <c r="A23" s="4">
        <v>19</v>
      </c>
      <c r="B23" s="4" t="s">
        <v>156</v>
      </c>
      <c r="C23" s="4" t="s">
        <v>157</v>
      </c>
      <c r="D23" s="4" t="s">
        <v>146</v>
      </c>
      <c r="E23" s="4" t="s">
        <v>54</v>
      </c>
      <c r="F23" s="4" t="s">
        <v>45</v>
      </c>
      <c r="G23" s="4" t="s">
        <v>45</v>
      </c>
    </row>
    <row r="24" ht="30" customHeight="1" spans="1:7">
      <c r="A24" s="4">
        <v>20</v>
      </c>
      <c r="B24" s="4" t="s">
        <v>194</v>
      </c>
      <c r="C24" s="4" t="s">
        <v>195</v>
      </c>
      <c r="D24" s="4" t="s">
        <v>146</v>
      </c>
      <c r="E24" s="4" t="s">
        <v>44</v>
      </c>
      <c r="F24" s="4" t="s">
        <v>45</v>
      </c>
      <c r="G24" s="4" t="e">
        <f>Grand Total-Paid</f>
        <v>#NAME?</v>
      </c>
    </row>
    <row r="25" ht="30" customHeight="1" spans="1:7">
      <c r="A25" s="4">
        <v>21</v>
      </c>
      <c r="B25" s="4" t="s">
        <v>93</v>
      </c>
      <c r="C25" s="4" t="s">
        <v>94</v>
      </c>
      <c r="D25" s="4" t="s">
        <v>95</v>
      </c>
      <c r="E25" s="4" t="s">
        <v>54</v>
      </c>
      <c r="F25" s="4" t="s">
        <v>96</v>
      </c>
      <c r="G25" s="4" t="s">
        <v>45</v>
      </c>
    </row>
    <row r="26" ht="30" customHeight="1" spans="1:7">
      <c r="A26" s="4">
        <v>22</v>
      </c>
      <c r="B26" s="4" t="s">
        <v>158</v>
      </c>
      <c r="C26" s="4" t="s">
        <v>159</v>
      </c>
      <c r="D26" s="4" t="s">
        <v>95</v>
      </c>
      <c r="E26" s="4" t="s">
        <v>54</v>
      </c>
      <c r="F26" s="4" t="s">
        <v>160</v>
      </c>
      <c r="G26" s="4" t="s">
        <v>45</v>
      </c>
    </row>
    <row r="27" ht="30" customHeight="1" spans="1:7">
      <c r="A27" s="4">
        <v>23</v>
      </c>
      <c r="B27" s="4" t="s">
        <v>196</v>
      </c>
      <c r="C27" s="4" t="s">
        <v>197</v>
      </c>
      <c r="D27" s="4" t="s">
        <v>59</v>
      </c>
      <c r="E27" s="4" t="s">
        <v>54</v>
      </c>
      <c r="F27" s="4" t="s">
        <v>45</v>
      </c>
      <c r="G27" s="4" t="s">
        <v>198</v>
      </c>
    </row>
    <row r="28" ht="30" customHeight="1" spans="1:7">
      <c r="A28" s="4">
        <v>24</v>
      </c>
      <c r="B28" s="4" t="s">
        <v>162</v>
      </c>
      <c r="C28" s="4" t="s">
        <v>163</v>
      </c>
      <c r="D28" s="4" t="s">
        <v>99</v>
      </c>
      <c r="E28" s="4" t="s">
        <v>45</v>
      </c>
      <c r="F28" s="4" t="s">
        <v>45</v>
      </c>
      <c r="G28" s="4" t="s">
        <v>45</v>
      </c>
    </row>
    <row r="29" ht="15.6" spans="1:7">
      <c r="A29" s="2" t="s">
        <v>165</v>
      </c>
    </row>
    <row r="30" ht="193" customHeight="1" spans="1:7">
      <c r="A30" s="8" t="s">
        <v>199</v>
      </c>
    </row>
  </sheetData>
  <mergeCells count="4">
    <mergeCell ref="A1:G1"/>
    <mergeCell ref="A2:G2"/>
    <mergeCell ref="A29:G29"/>
    <mergeCell ref="A30:G3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S14" sqref="S14"/>
    </sheetView>
  </sheetViews>
  <sheetFormatPr defaultColWidth="9" defaultRowHeight="14.4" outlineLevelCol="6"/>
  <cols>
    <col min="1" max="1" width="4" customWidth="1"/>
    <col min="2" max="2" width="22" customWidth="1"/>
    <col min="3" max="3" width="16" customWidth="1"/>
    <col min="4" max="4" width="18" customWidth="1"/>
    <col min="5" max="5" width="6" customWidth="1"/>
    <col min="6" max="6" width="14" customWidth="1"/>
    <col min="7" max="7" width="50" customWidth="1"/>
  </cols>
  <sheetData>
    <row r="1" ht="24" customHeight="1" spans="1:7">
      <c r="A1" s="6" t="s">
        <v>200</v>
      </c>
    </row>
    <row r="2" ht="30" customHeight="1" spans="1:7">
      <c r="A2" t="s">
        <v>201</v>
      </c>
    </row>
    <row r="4" ht="28" customHeight="1" spans="1:7">
      <c r="A4" s="3" t="s">
        <v>36</v>
      </c>
      <c r="B4" s="3" t="s">
        <v>37</v>
      </c>
      <c r="C4" s="3" t="s">
        <v>5</v>
      </c>
      <c r="D4" s="3" t="s">
        <v>6</v>
      </c>
      <c r="E4" s="3" t="s">
        <v>38</v>
      </c>
      <c r="F4" s="3" t="s">
        <v>39</v>
      </c>
      <c r="G4" s="3" t="s">
        <v>40</v>
      </c>
    </row>
    <row r="5" ht="30" customHeight="1" spans="1:7">
      <c r="A5" s="4">
        <v>2</v>
      </c>
      <c r="B5" s="4" t="s">
        <v>202</v>
      </c>
      <c r="C5" s="4" t="s">
        <v>203</v>
      </c>
      <c r="D5" s="4" t="s">
        <v>48</v>
      </c>
      <c r="E5" s="4" t="s">
        <v>44</v>
      </c>
      <c r="F5" s="4" t="s">
        <v>204</v>
      </c>
      <c r="G5" s="4" t="s">
        <v>205</v>
      </c>
    </row>
    <row r="6" ht="30" customHeight="1" spans="1:7">
      <c r="A6" s="7">
        <v>3</v>
      </c>
      <c r="B6" s="7" t="s">
        <v>206</v>
      </c>
      <c r="C6" s="7" t="s">
        <v>207</v>
      </c>
      <c r="D6" s="7" t="s">
        <v>48</v>
      </c>
      <c r="E6" s="7" t="s">
        <v>44</v>
      </c>
      <c r="F6" s="7" t="s">
        <v>84</v>
      </c>
      <c r="G6" s="7" t="s">
        <v>208</v>
      </c>
    </row>
    <row r="7" ht="30" customHeight="1" spans="1:7">
      <c r="A7" s="4">
        <v>4</v>
      </c>
      <c r="B7" s="4" t="s">
        <v>209</v>
      </c>
      <c r="C7" s="4" t="s">
        <v>210</v>
      </c>
      <c r="D7" s="4" t="s">
        <v>59</v>
      </c>
      <c r="E7" s="4" t="s">
        <v>44</v>
      </c>
      <c r="F7" s="4" t="s">
        <v>45</v>
      </c>
      <c r="G7" s="4" t="s">
        <v>211</v>
      </c>
    </row>
    <row r="8" ht="30" customHeight="1" spans="1:7">
      <c r="A8" s="4">
        <v>5</v>
      </c>
      <c r="B8" s="4" t="s">
        <v>212</v>
      </c>
      <c r="C8" s="4" t="s">
        <v>213</v>
      </c>
      <c r="D8" s="4" t="s">
        <v>48</v>
      </c>
      <c r="E8" s="4" t="s">
        <v>54</v>
      </c>
      <c r="F8" s="4" t="s">
        <v>214</v>
      </c>
      <c r="G8" s="4" t="s">
        <v>215</v>
      </c>
    </row>
    <row r="9" ht="30" customHeight="1" spans="1:7">
      <c r="A9" s="4">
        <v>9</v>
      </c>
      <c r="B9" s="4" t="s">
        <v>216</v>
      </c>
      <c r="C9" s="4" t="s">
        <v>217</v>
      </c>
      <c r="D9" s="4" t="s">
        <v>78</v>
      </c>
      <c r="E9" s="4" t="s">
        <v>54</v>
      </c>
      <c r="F9" s="4" t="s">
        <v>45</v>
      </c>
      <c r="G9" s="4" t="s">
        <v>218</v>
      </c>
    </row>
    <row r="10" ht="30" customHeight="1" spans="1:7">
      <c r="A10" s="4">
        <v>14</v>
      </c>
      <c r="B10" s="4" t="s">
        <v>219</v>
      </c>
      <c r="C10" s="4" t="s">
        <v>220</v>
      </c>
      <c r="D10" s="4" t="s">
        <v>146</v>
      </c>
      <c r="E10" s="4" t="s">
        <v>44</v>
      </c>
      <c r="F10" s="4" t="s">
        <v>45</v>
      </c>
      <c r="G10" s="4" t="s">
        <v>221</v>
      </c>
    </row>
    <row r="11" ht="30" customHeight="1" spans="1:7">
      <c r="A11" s="4">
        <v>16</v>
      </c>
      <c r="B11" s="4" t="s">
        <v>222</v>
      </c>
      <c r="C11" s="4" t="s">
        <v>223</v>
      </c>
      <c r="D11" s="4" t="s">
        <v>146</v>
      </c>
      <c r="E11" s="4" t="s">
        <v>54</v>
      </c>
      <c r="F11" s="4" t="s">
        <v>45</v>
      </c>
      <c r="G11" s="4" t="s">
        <v>224</v>
      </c>
    </row>
    <row r="12" ht="30" customHeight="1" spans="1:7">
      <c r="A12" s="4">
        <v>19</v>
      </c>
      <c r="B12" s="4" t="s">
        <v>93</v>
      </c>
      <c r="C12" s="4" t="s">
        <v>94</v>
      </c>
      <c r="D12" s="4" t="s">
        <v>95</v>
      </c>
      <c r="E12" s="4" t="s">
        <v>54</v>
      </c>
      <c r="F12" s="4" t="s">
        <v>96</v>
      </c>
      <c r="G12" s="4" t="s">
        <v>225</v>
      </c>
    </row>
    <row r="13" ht="30" customHeight="1" spans="1:7">
      <c r="A13" s="4">
        <v>21</v>
      </c>
      <c r="B13" s="4" t="s">
        <v>226</v>
      </c>
      <c r="C13" s="4" t="s">
        <v>227</v>
      </c>
      <c r="D13" s="4" t="s">
        <v>228</v>
      </c>
      <c r="E13" s="4" t="s">
        <v>54</v>
      </c>
      <c r="F13" s="4" t="s">
        <v>45</v>
      </c>
      <c r="G13" s="4" t="s">
        <v>45</v>
      </c>
    </row>
    <row r="14" ht="30" customHeight="1" spans="1:7">
      <c r="A14" s="4">
        <v>22</v>
      </c>
      <c r="B14" s="4" t="s">
        <v>229</v>
      </c>
      <c r="C14" s="4" t="s">
        <v>230</v>
      </c>
      <c r="D14" s="4" t="s">
        <v>48</v>
      </c>
      <c r="E14" s="4" t="s">
        <v>54</v>
      </c>
      <c r="F14" s="4" t="s">
        <v>204</v>
      </c>
      <c r="G14" s="4" t="s">
        <v>231</v>
      </c>
    </row>
    <row r="15" ht="30" customHeight="1" spans="1:7">
      <c r="A15" s="4">
        <v>23</v>
      </c>
      <c r="B15" s="4" t="s">
        <v>232</v>
      </c>
      <c r="C15" s="4" t="s">
        <v>233</v>
      </c>
      <c r="D15" s="4" t="s">
        <v>234</v>
      </c>
      <c r="E15" s="4" t="s">
        <v>54</v>
      </c>
      <c r="F15" s="4" t="s">
        <v>45</v>
      </c>
      <c r="G15" s="4" t="s">
        <v>235</v>
      </c>
    </row>
    <row r="16" ht="15.6" spans="1:7">
      <c r="A16" s="2" t="s">
        <v>165</v>
      </c>
    </row>
    <row r="17" ht="145" customHeight="1" spans="1:1">
      <c r="A17" s="8" t="s">
        <v>236</v>
      </c>
    </row>
  </sheetData>
  <mergeCells count="4">
    <mergeCell ref="A1:G1"/>
    <mergeCell ref="A2:G2"/>
    <mergeCell ref="A16:G16"/>
    <mergeCell ref="A17:G17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workbookViewId="0">
      <selection activeCell="M13" sqref="M13"/>
    </sheetView>
  </sheetViews>
  <sheetFormatPr defaultColWidth="9" defaultRowHeight="14.4" outlineLevelCol="4"/>
  <cols>
    <col min="1" max="1" width="12" customWidth="1"/>
    <col min="2" max="2" width="14" customWidth="1"/>
    <col min="3" max="3" width="50" customWidth="1"/>
    <col min="4" max="4" width="14" customWidth="1"/>
    <col min="5" max="5" width="18" customWidth="1"/>
  </cols>
  <sheetData>
    <row r="1" ht="28" customHeight="1" spans="1:5">
      <c r="A1" s="1" t="s">
        <v>237</v>
      </c>
    </row>
    <row r="3" ht="15.6" spans="1:5">
      <c r="A3" s="2" t="s">
        <v>238</v>
      </c>
    </row>
    <row r="4" ht="28" customHeight="1" spans="1:5">
      <c r="A4" s="3" t="s">
        <v>239</v>
      </c>
      <c r="B4" s="3" t="s">
        <v>240</v>
      </c>
      <c r="C4" s="3" t="s">
        <v>241</v>
      </c>
      <c r="D4" s="3" t="s">
        <v>242</v>
      </c>
      <c r="E4" s="3" t="s">
        <v>9</v>
      </c>
    </row>
    <row r="5" ht="26" customHeight="1" spans="1:5">
      <c r="A5" s="4" t="s">
        <v>243</v>
      </c>
      <c r="B5" s="4" t="s">
        <v>244</v>
      </c>
      <c r="C5" s="4" t="s">
        <v>245</v>
      </c>
      <c r="D5" s="4" t="s">
        <v>246</v>
      </c>
      <c r="E5" s="4" t="s">
        <v>45</v>
      </c>
    </row>
    <row r="6" ht="26" customHeight="1" spans="1:5">
      <c r="A6" s="4" t="s">
        <v>247</v>
      </c>
      <c r="B6" s="4" t="s">
        <v>248</v>
      </c>
      <c r="C6" s="4" t="s">
        <v>249</v>
      </c>
      <c r="D6" s="4" t="s">
        <v>246</v>
      </c>
      <c r="E6" s="4" t="s">
        <v>45</v>
      </c>
    </row>
    <row r="7" ht="26" customHeight="1" spans="1:5">
      <c r="A7" s="4" t="s">
        <v>250</v>
      </c>
      <c r="B7" s="4" t="s">
        <v>251</v>
      </c>
      <c r="C7" s="4" t="s">
        <v>45</v>
      </c>
      <c r="D7" s="4" t="s">
        <v>246</v>
      </c>
      <c r="E7" s="4" t="s">
        <v>252</v>
      </c>
    </row>
    <row r="8" ht="26" customHeight="1" spans="1:5">
      <c r="A8" s="4" t="s">
        <v>253</v>
      </c>
      <c r="B8" s="4" t="s">
        <v>254</v>
      </c>
      <c r="C8" s="4" t="s">
        <v>255</v>
      </c>
      <c r="D8" s="4" t="s">
        <v>246</v>
      </c>
      <c r="E8" s="4" t="s">
        <v>45</v>
      </c>
    </row>
    <row r="9" ht="26" customHeight="1" spans="1:5">
      <c r="A9" s="4" t="s">
        <v>256</v>
      </c>
      <c r="B9" s="4" t="s">
        <v>257</v>
      </c>
      <c r="C9" s="4" t="s">
        <v>258</v>
      </c>
      <c r="D9" s="4" t="s">
        <v>246</v>
      </c>
      <c r="E9" s="4" t="s">
        <v>45</v>
      </c>
    </row>
    <row r="10" ht="26" customHeight="1" spans="1:5">
      <c r="A10" s="4" t="s">
        <v>259</v>
      </c>
      <c r="B10" s="4" t="s">
        <v>260</v>
      </c>
      <c r="C10" s="4" t="s">
        <v>261</v>
      </c>
      <c r="D10" s="4" t="s">
        <v>246</v>
      </c>
      <c r="E10" s="4" t="s">
        <v>45</v>
      </c>
    </row>
    <row r="11" ht="26" customHeight="1" spans="1:5">
      <c r="A11" s="4" t="s">
        <v>262</v>
      </c>
      <c r="B11" s="4" t="s">
        <v>263</v>
      </c>
      <c r="C11" s="4" t="s">
        <v>264</v>
      </c>
      <c r="D11" s="4" t="s">
        <v>246</v>
      </c>
      <c r="E11" s="4" t="s">
        <v>45</v>
      </c>
    </row>
    <row r="12" ht="26" customHeight="1" spans="1:5">
      <c r="A12" s="4" t="s">
        <v>265</v>
      </c>
      <c r="B12" s="4" t="s">
        <v>266</v>
      </c>
      <c r="C12" s="4" t="s">
        <v>267</v>
      </c>
      <c r="D12" s="4" t="s">
        <v>246</v>
      </c>
      <c r="E12" s="4" t="s">
        <v>268</v>
      </c>
    </row>
    <row r="13" ht="26" customHeight="1" spans="1:5">
      <c r="A13" s="4" t="s">
        <v>269</v>
      </c>
      <c r="B13" s="4" t="s">
        <v>270</v>
      </c>
      <c r="C13" s="4" t="s">
        <v>45</v>
      </c>
      <c r="D13" s="4" t="s">
        <v>246</v>
      </c>
      <c r="E13" s="4" t="s">
        <v>45</v>
      </c>
    </row>
    <row r="14" ht="26" customHeight="1" spans="1:5">
      <c r="A14" s="4" t="s">
        <v>271</v>
      </c>
      <c r="B14" s="4" t="s">
        <v>272</v>
      </c>
      <c r="C14" s="4" t="s">
        <v>45</v>
      </c>
      <c r="D14" s="4" t="s">
        <v>246</v>
      </c>
      <c r="E14" s="4" t="s">
        <v>45</v>
      </c>
    </row>
    <row r="17" ht="15.6" spans="1:5">
      <c r="A17" s="2" t="s">
        <v>273</v>
      </c>
    </row>
    <row r="18" ht="28" customHeight="1" spans="1:5">
      <c r="A18" s="3" t="s">
        <v>274</v>
      </c>
      <c r="B18" s="3" t="s">
        <v>275</v>
      </c>
      <c r="C18" s="3" t="s">
        <v>276</v>
      </c>
      <c r="D18" s="3" t="s">
        <v>277</v>
      </c>
      <c r="E18" s="3" t="s">
        <v>278</v>
      </c>
    </row>
    <row r="19" ht="32" customHeight="1" spans="1:5">
      <c r="A19" s="4" t="s">
        <v>279</v>
      </c>
      <c r="B19" s="4" t="s">
        <v>280</v>
      </c>
      <c r="C19" s="4" t="s">
        <v>281</v>
      </c>
      <c r="D19" s="4" t="s">
        <v>250</v>
      </c>
      <c r="E19" s="4" t="s">
        <v>282</v>
      </c>
    </row>
    <row r="20" ht="32" customHeight="1" spans="1:5">
      <c r="A20" s="4" t="s">
        <v>283</v>
      </c>
      <c r="B20" s="4" t="s">
        <v>284</v>
      </c>
      <c r="C20" s="4" t="s">
        <v>285</v>
      </c>
      <c r="D20" s="4" t="s">
        <v>286</v>
      </c>
      <c r="E20" s="4" t="s">
        <v>287</v>
      </c>
    </row>
    <row r="21" ht="32" customHeight="1" spans="1:5">
      <c r="A21" s="4" t="s">
        <v>288</v>
      </c>
      <c r="B21" s="4" t="s">
        <v>289</v>
      </c>
      <c r="C21" s="4" t="s">
        <v>290</v>
      </c>
      <c r="D21" s="4" t="s">
        <v>286</v>
      </c>
      <c r="E21" s="4" t="s">
        <v>291</v>
      </c>
    </row>
    <row r="22" ht="32" customHeight="1" spans="1:5">
      <c r="A22" s="4" t="s">
        <v>292</v>
      </c>
      <c r="B22" s="4" t="s">
        <v>293</v>
      </c>
      <c r="C22" s="4" t="s">
        <v>294</v>
      </c>
      <c r="D22" s="4" t="s">
        <v>286</v>
      </c>
      <c r="E22" s="4" t="s">
        <v>295</v>
      </c>
    </row>
    <row r="23" ht="32" customHeight="1" spans="1:5">
      <c r="A23" s="4" t="s">
        <v>296</v>
      </c>
      <c r="B23" s="4" t="s">
        <v>297</v>
      </c>
      <c r="C23" s="4" t="s">
        <v>298</v>
      </c>
      <c r="D23" s="4" t="s">
        <v>286</v>
      </c>
      <c r="E23" s="4" t="s">
        <v>299</v>
      </c>
    </row>
    <row r="24" ht="32" customHeight="1" spans="1:5">
      <c r="A24" s="4" t="s">
        <v>300</v>
      </c>
      <c r="B24" s="4" t="s">
        <v>301</v>
      </c>
      <c r="C24" s="4" t="s">
        <v>302</v>
      </c>
      <c r="D24" s="4" t="s">
        <v>250</v>
      </c>
      <c r="E24" s="4" t="s">
        <v>303</v>
      </c>
    </row>
    <row r="25" ht="32" customHeight="1" spans="1:5">
      <c r="A25" s="4" t="s">
        <v>304</v>
      </c>
      <c r="B25" s="4" t="s">
        <v>305</v>
      </c>
      <c r="C25" s="4" t="s">
        <v>306</v>
      </c>
      <c r="D25" s="4" t="s">
        <v>307</v>
      </c>
      <c r="E25" s="4" t="s">
        <v>308</v>
      </c>
    </row>
    <row r="28" ht="15.6" spans="1:5">
      <c r="A28" s="2" t="s">
        <v>309</v>
      </c>
    </row>
    <row r="29" ht="400" customHeight="1" spans="1:5">
      <c r="A29" s="5" t="s">
        <v>310</v>
      </c>
    </row>
    <row r="40" ht="15.6" spans="1:5">
      <c r="A40" s="2" t="s">
        <v>311</v>
      </c>
    </row>
    <row r="41" ht="28" customHeight="1" spans="1:5">
      <c r="A41" s="3" t="s">
        <v>312</v>
      </c>
      <c r="B41" s="3" t="s">
        <v>313</v>
      </c>
      <c r="C41" s="3" t="s">
        <v>314</v>
      </c>
      <c r="D41" s="3" t="s">
        <v>315</v>
      </c>
      <c r="E41" s="3" t="s">
        <v>9</v>
      </c>
    </row>
    <row r="42" ht="28" customHeight="1" spans="1:5">
      <c r="A42" s="4" t="s">
        <v>316</v>
      </c>
      <c r="B42" s="4" t="s">
        <v>317</v>
      </c>
      <c r="C42" s="4" t="s">
        <v>318</v>
      </c>
      <c r="D42" s="4" t="s">
        <v>250</v>
      </c>
      <c r="E42" s="4" t="s">
        <v>319</v>
      </c>
    </row>
    <row r="43" ht="28" customHeight="1" spans="1:5">
      <c r="A43" s="4" t="s">
        <v>320</v>
      </c>
      <c r="B43" s="4" t="s">
        <v>321</v>
      </c>
      <c r="C43" s="4" t="s">
        <v>322</v>
      </c>
      <c r="D43" s="4" t="s">
        <v>243</v>
      </c>
      <c r="E43" s="4" t="s">
        <v>323</v>
      </c>
    </row>
    <row r="44" ht="28" customHeight="1" spans="1:5">
      <c r="A44" s="4" t="s">
        <v>324</v>
      </c>
      <c r="B44" s="4" t="s">
        <v>325</v>
      </c>
      <c r="C44" s="4" t="s">
        <v>326</v>
      </c>
      <c r="D44" s="4" t="s">
        <v>250</v>
      </c>
      <c r="E44" s="4" t="s">
        <v>45</v>
      </c>
    </row>
    <row r="45" ht="28" customHeight="1" spans="1:5">
      <c r="A45" s="4" t="s">
        <v>327</v>
      </c>
      <c r="B45" s="4" t="s">
        <v>328</v>
      </c>
      <c r="C45" s="4" t="s">
        <v>329</v>
      </c>
      <c r="D45" s="4" t="s">
        <v>330</v>
      </c>
      <c r="E45" s="4" t="s">
        <v>331</v>
      </c>
    </row>
    <row r="46" ht="28" customHeight="1" spans="1:5">
      <c r="A46" s="4" t="s">
        <v>332</v>
      </c>
      <c r="B46" s="4" t="s">
        <v>333</v>
      </c>
      <c r="C46" s="4" t="s">
        <v>334</v>
      </c>
      <c r="D46" s="4" t="s">
        <v>330</v>
      </c>
      <c r="E46" s="4" t="s">
        <v>335</v>
      </c>
    </row>
    <row r="47" ht="28" customHeight="1" spans="1:5">
      <c r="A47" s="4" t="s">
        <v>336</v>
      </c>
      <c r="B47" s="4" t="s">
        <v>337</v>
      </c>
      <c r="C47" s="4" t="s">
        <v>326</v>
      </c>
      <c r="D47" s="4" t="s">
        <v>307</v>
      </c>
      <c r="E47" s="4" t="s">
        <v>45</v>
      </c>
    </row>
  </sheetData>
  <mergeCells count="6">
    <mergeCell ref="A1:E1"/>
    <mergeCell ref="A3:E3"/>
    <mergeCell ref="A17:E17"/>
    <mergeCell ref="A28:E28"/>
    <mergeCell ref="A29:E29"/>
    <mergeCell ref="A40:E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1-总览</vt:lpstr>
      <vt:lpstr>2-Accounts</vt:lpstr>
      <vt:lpstr>3-Quotes</vt:lpstr>
      <vt:lpstr>4-Invoices</vt:lpstr>
      <vt:lpstr>5-Products</vt:lpstr>
      <vt:lpstr>6-工程师开发指引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WPS_1781504945</cp:lastModifiedBy>
  <dcterms:created xsi:type="dcterms:W3CDTF">2026-08-09T14:30:00Z</dcterms:created>
  <dcterms:modified xsi:type="dcterms:W3CDTF">2026-08-09T14:54:06Z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2052-12.1.0.25862</vt:lpwstr>
  </property>
  <property fmtid="{D5CDD505-2E9C-101B-9397-08002B2CF9AE}" pid="3" name="CalculationRule">
    <vt:i4>0</vt:i4>
  </property>
  <property fmtid="{D5CDD505-2E9C-101B-9397-08002B2CF9AE}" pid="4" name="ICV">
    <vt:lpwstr>E277134A778C4CD6B6DBD0628F3807E9_13</vt:lpwstr>
  </property>
</Properties>
</file>